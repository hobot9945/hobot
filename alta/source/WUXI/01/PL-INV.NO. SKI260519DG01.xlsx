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asy\Desktop\ООО СКИФ\4 ручки для окна\WUXI NOBLE HARDWARE TECHNOLOGY CO., LTD\"/>
    </mc:Choice>
  </mc:AlternateContent>
  <xr:revisionPtr revIDLastSave="0" documentId="8_{EA8AE280-C2A0-403D-B7F4-8C4413950371}" xr6:coauthVersionLast="47" xr6:coauthVersionMax="47" xr10:uidLastSave="{00000000-0000-0000-0000-000000000000}"/>
  <bookViews>
    <workbookView xWindow="31425" yWindow="555" windowWidth="15525" windowHeight="15150" xr2:uid="{00000000-000D-0000-FFFF-FFFF00000000}"/>
  </bookViews>
  <sheets>
    <sheet name="PL" sheetId="7" r:id="rId1"/>
  </sheets>
  <calcPr calcId="191029"/>
  <fileRecoveryPr dataExtractLoad="1"/>
</workbook>
</file>

<file path=xl/calcChain.xml><?xml version="1.0" encoding="utf-8"?>
<calcChain xmlns="http://schemas.openxmlformats.org/spreadsheetml/2006/main">
  <c r="D7" i="7" l="1"/>
  <c r="L6" i="7"/>
  <c r="L7" i="7" s="1"/>
  <c r="M6" i="7" l="1"/>
  <c r="M7" i="7" s="1"/>
  <c r="N6" i="7"/>
  <c r="N7" i="7" s="1"/>
  <c r="O6" i="7"/>
  <c r="O7" i="7" s="1"/>
</calcChain>
</file>

<file path=xl/sharedStrings.xml><?xml version="1.0" encoding="utf-8"?>
<sst xmlns="http://schemas.openxmlformats.org/spreadsheetml/2006/main" count="28" uniqueCount="28">
  <si>
    <t/>
  </si>
  <si>
    <t>Packing List</t>
  </si>
  <si>
    <t>TO:</t>
  </si>
  <si>
    <t xml:space="preserve">LLC «SKIF» 
Address:  423800, Republic of Tatarstan, Naberezhnye Chelny, Khlebny Passage, hause 30, office 211 
Phone: +7 937 779-26-56 
NAME: Saranov Dmitry Olegovich </t>
  </si>
  <si>
    <t>INV.NO.: SKI260519DG01</t>
  </si>
  <si>
    <t>DATE: 17 of June 2026</t>
  </si>
  <si>
    <t>No.</t>
  </si>
  <si>
    <t>Item Name</t>
  </si>
  <si>
    <t>Description</t>
  </si>
  <si>
    <t>QTY</t>
  </si>
  <si>
    <t>Unit</t>
  </si>
  <si>
    <t>Packing</t>
  </si>
  <si>
    <t>N.W./CTN</t>
  </si>
  <si>
    <t>G.W./CTN</t>
  </si>
  <si>
    <t>CBM/CTN</t>
  </si>
  <si>
    <t>TOTAL
Pallet</t>
  </si>
  <si>
    <t>TOTAL
PACKAGES</t>
  </si>
  <si>
    <t>TOTAL
N.W.
KGS</t>
  </si>
  <si>
    <t>TOTAL
G.W.
KGS</t>
  </si>
  <si>
    <t>TOTAL
CBM
m³</t>
  </si>
  <si>
    <t>HANDLE</t>
  </si>
  <si>
    <t xml:space="preserve">ALUMINUM </t>
  </si>
  <si>
    <t>pcs</t>
  </si>
  <si>
    <t>pcs/ctn</t>
  </si>
  <si>
    <t>TOTAL</t>
  </si>
  <si>
    <t xml:space="preserve">BUYER:
        LLC «SKIF» </t>
  </si>
  <si>
    <t>SELLER:  
        WUXI  NOBLE  HARDWARE TECHNOLOGY  CO., LTD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</si>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</sst>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_ "/>
  </numFmts>
  <fonts count="20">
    <font>
      <sz val="11"/>
      <color theme="1"/>
      <name val="Calibri"/>
      <charset val="134"/>
      <scheme val="minor"/>
    </font>
    <font>
      <sz val="11"/>
      <color theme="1"/>
      <name val="等线"/>
      <charset val="134"/>
    </font>
    <font>
      <sz val="10"/>
      <name val="等线"/>
      <charset val="134"/>
    </font>
    <font>
      <sz val="8"/>
      <color theme="1"/>
      <name val="等线"/>
      <charset val="134"/>
    </font>
    <font>
      <sz val="12"/>
      <name val="宋体"/>
      <charset val="134"/>
    </font>
    <font>
      <sz val="9"/>
      <color theme="1"/>
      <name val="等线"/>
      <charset val="134"/>
    </font>
    <font>
      <b/>
      <sz val="16"/>
      <name val="等线"/>
      <charset val="134"/>
    </font>
    <font>
      <b/>
      <u val="doubleAccounting"/>
      <sz val="20"/>
      <color theme="1"/>
      <name val="等线"/>
      <charset val="134"/>
    </font>
    <font>
      <b/>
      <sz val="11"/>
      <color theme="1"/>
      <name val="等线"/>
      <charset val="134"/>
    </font>
    <font>
      <sz val="10"/>
      <name val="宋体"/>
      <charset val="134"/>
    </font>
    <font>
      <b/>
      <sz val="10"/>
      <name val="等线"/>
    </font>
    <font>
      <b/>
      <sz val="10"/>
      <color theme="1"/>
      <name val="等线"/>
      <charset val="134"/>
    </font>
    <font>
      <b/>
      <sz val="8"/>
      <color theme="1"/>
      <name val="等线"/>
      <charset val="134"/>
    </font>
    <font>
      <b/>
      <sz val="9"/>
      <color theme="1"/>
      <name val="等线"/>
      <charset val="134"/>
    </font>
    <font>
      <sz val="10"/>
      <color theme="1"/>
      <name val="等线"/>
      <charset val="134"/>
    </font>
    <font>
      <sz val="10"/>
      <name val="等线"/>
    </font>
    <font>
      <b/>
      <sz val="10"/>
      <color theme="1"/>
      <name val="等线"/>
    </font>
    <font>
      <b/>
      <sz val="10.5"/>
      <color theme="1"/>
      <name val="等线"/>
      <charset val="134"/>
    </font>
    <font>
      <sz val="10"/>
      <name val="Arial"/>
    </font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4" fillId="0" borderId="0">
      <alignment vertical="center"/>
    </xf>
    <xf numFmtId="0" fontId="4" fillId="0" borderId="0"/>
    <xf numFmtId="0" fontId="18" fillId="0" borderId="0"/>
    <xf numFmtId="0" fontId="19" fillId="0" borderId="0">
      <alignment vertical="center"/>
    </xf>
  </cellStyleXfs>
  <cellXfs count="37">
    <xf numFmtId="0" fontId="0" fillId="0" borderId="0" xfId="0">
      <alignment vertical="center"/>
    </xf>
    <xf numFmtId="0" fontId="1" fillId="0" borderId="0" xfId="0" applyFont="1" applyAlignment="1"/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9" fillId="0" borderId="0" xfId="0" applyFont="1">
      <alignment vertical="center"/>
    </xf>
    <xf numFmtId="168" fontId="2" fillId="0" borderId="0" xfId="0" applyNumberFormat="1" applyFont="1" applyAlignment="1">
      <alignment horizontal="left" vertical="center"/>
    </xf>
    <xf numFmtId="0" fontId="10" fillId="0" borderId="1" xfId="1" applyFont="1" applyBorder="1" applyAlignment="1">
      <alignment horizontal="center" vertical="center"/>
    </xf>
    <xf numFmtId="0" fontId="10" fillId="0" borderId="2" xfId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right" vertical="center"/>
    </xf>
    <xf numFmtId="0" fontId="10" fillId="0" borderId="1" xfId="1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 wrapText="1"/>
    </xf>
    <xf numFmtId="0" fontId="11" fillId="0" borderId="1" xfId="1" applyFont="1" applyBorder="1" applyAlignment="1">
      <alignment horizontal="right" vertical="center" wrapText="1"/>
    </xf>
    <xf numFmtId="0" fontId="14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right" vertical="center" wrapText="1"/>
    </xf>
    <xf numFmtId="0" fontId="15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>
      <alignment vertical="center"/>
    </xf>
    <xf numFmtId="0" fontId="10" fillId="0" borderId="1" xfId="1" applyFont="1" applyBorder="1" applyAlignment="1">
      <alignment horizontal="left" vertical="center" wrapText="1"/>
    </xf>
    <xf numFmtId="0" fontId="14" fillId="0" borderId="1" xfId="0" applyFont="1" applyBorder="1">
      <alignment vertical="center"/>
    </xf>
    <xf numFmtId="0" fontId="13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17" fillId="0" borderId="0" xfId="0" applyFont="1" applyAlignment="1">
      <alignment horizontal="justify" wrapText="1"/>
    </xf>
    <xf numFmtId="0" fontId="5" fillId="0" borderId="0" xfId="0" applyFont="1" applyAlignment="1"/>
    <xf numFmtId="0" fontId="0" fillId="0" borderId="0" xfId="0" applyAlignment="1"/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</cellXfs>
  <cellStyles count="5">
    <cellStyle name="Normal 2" xfId="1" xr:uid="{00000000-0005-0000-0000-000031000000}"/>
    <cellStyle name="Normal 9" xfId="4" xr:uid="{00000000-0005-0000-0000-000034000000}"/>
    <cellStyle name="Normal_Sheet1" xfId="3" xr:uid="{00000000-0005-0000-0000-000033000000}"/>
    <cellStyle name="Обычный" xfId="0" builtinId="0"/>
    <cellStyle name="常规 2" xfId="2" xr:uid="{00000000-0005-0000-0000-000032000000}"/>
  </cellStyles>
  <dxfs count="0"/>
  <tableStyles count="0" defaultTableStyle="TableStyleMedium2" defaultPivotStyle="PivotStyleLight16"/>
  <colors>
    <mruColors>
      <color rgb="FFFF0000"/>
      <color rgb="FFFFFF00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E10"/>
  <sheetViews>
    <sheetView tabSelected="1" topLeftCell="A4" workbookViewId="0">
      <selection activeCell="A2" sqref="A2:E2"/>
    </sheetView>
  </sheetViews>
  <sheetFormatPr defaultRowHeight="15"/>
  <sheetData>
    <row r="1" spans="1:239" ht="2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239" ht="27.75">
      <c r="A2" s="36" t="s">
        <v>1</v>
      </c>
      <c r="B2" s="36"/>
      <c r="C2" s="36"/>
      <c r="D2" s="36"/>
      <c r="E2" s="36"/>
      <c r="F2" s="3"/>
      <c r="G2" s="3"/>
      <c r="H2" s="3"/>
      <c r="I2" s="3"/>
      <c r="J2" s="3"/>
      <c r="K2" s="3"/>
      <c r="L2" s="3"/>
      <c r="M2" s="3"/>
      <c r="N2" s="3"/>
      <c r="O2" s="3"/>
    </row>
    <row r="3" spans="1:239" ht="384.75" customHeight="1">
      <c r="A3" s="4" t="s">
        <v>2</v>
      </c>
      <c r="B3" s="35" t="s">
        <v>3</v>
      </c>
      <c r="C3" s="35"/>
      <c r="D3" s="35"/>
      <c r="E3" s="35"/>
      <c r="F3" s="6"/>
      <c r="G3" s="7" t="s">
        <v>4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</row>
    <row r="4" spans="1:239">
      <c r="A4" s="4"/>
      <c r="B4" s="5"/>
      <c r="C4" s="5"/>
      <c r="D4" s="5"/>
      <c r="E4" s="6"/>
      <c r="F4" s="6"/>
      <c r="G4" s="7" t="s">
        <v>5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</row>
    <row r="5" spans="1:239" ht="36">
      <c r="A5" s="8" t="s">
        <v>6</v>
      </c>
      <c r="B5" s="9" t="s">
        <v>7</v>
      </c>
      <c r="C5" s="8" t="s">
        <v>8</v>
      </c>
      <c r="D5" s="10" t="s">
        <v>9</v>
      </c>
      <c r="E5" s="11" t="s">
        <v>10</v>
      </c>
      <c r="F5" s="12" t="s">
        <v>11</v>
      </c>
      <c r="G5" s="12"/>
      <c r="H5" s="13" t="s">
        <v>12</v>
      </c>
      <c r="I5" s="13" t="s">
        <v>13</v>
      </c>
      <c r="J5" s="13" t="s">
        <v>14</v>
      </c>
      <c r="K5" s="14" t="s">
        <v>15</v>
      </c>
      <c r="L5" s="14" t="s">
        <v>16</v>
      </c>
      <c r="M5" s="15" t="s">
        <v>17</v>
      </c>
      <c r="N5" s="15" t="s">
        <v>18</v>
      </c>
      <c r="O5" s="16" t="s">
        <v>19</v>
      </c>
    </row>
    <row r="6" spans="1:239" ht="25.5">
      <c r="A6" s="17">
        <v>1</v>
      </c>
      <c r="B6" s="18" t="s">
        <v>20</v>
      </c>
      <c r="C6" s="18" t="s">
        <v>21</v>
      </c>
      <c r="D6" s="19">
        <v>5000</v>
      </c>
      <c r="E6" s="20" t="s">
        <v>22</v>
      </c>
      <c r="F6" s="21">
        <v>100</v>
      </c>
      <c r="G6" s="20" t="s">
        <v>23</v>
      </c>
      <c r="H6" s="17">
        <v>18</v>
      </c>
      <c r="I6" s="17">
        <v>18.5</v>
      </c>
      <c r="J6" s="22">
        <v>3.32E-2</v>
      </c>
      <c r="K6" s="22">
        <v>1</v>
      </c>
      <c r="L6" s="23">
        <f>D6/F6</f>
        <v>50</v>
      </c>
      <c r="M6" s="23">
        <f>H6*L6</f>
        <v>900</v>
      </c>
      <c r="N6" s="23">
        <f>I6*L6</f>
        <v>925</v>
      </c>
      <c r="O6" s="23">
        <f>J6*L6</f>
        <v>1.66</v>
      </c>
    </row>
    <row r="7" spans="1:239">
      <c r="A7" s="24" t="s">
        <v>24</v>
      </c>
      <c r="B7" s="24"/>
      <c r="C7" s="24"/>
      <c r="D7" s="25">
        <f>SUM(D6:D6)</f>
        <v>5000</v>
      </c>
      <c r="E7" s="26"/>
      <c r="F7" s="27"/>
      <c r="G7" s="27"/>
      <c r="H7" s="27"/>
      <c r="I7" s="27"/>
      <c r="J7" s="27"/>
      <c r="K7" s="12">
        <v>1</v>
      </c>
      <c r="L7" s="12">
        <f>SUM(L6:L6)</f>
        <v>50</v>
      </c>
      <c r="M7" s="12">
        <f>SUM(M6:M6)</f>
        <v>900</v>
      </c>
      <c r="N7" s="12">
        <f>SUM(N6:N6)</f>
        <v>925</v>
      </c>
      <c r="O7" s="12">
        <f>SUM(O6:O6)</f>
        <v>1.66</v>
      </c>
    </row>
    <row r="8" spans="1:239" ht="96">
      <c r="A8" s="28" t="s">
        <v>25</v>
      </c>
      <c r="B8" s="28"/>
      <c r="C8" s="28"/>
      <c r="D8" s="28"/>
      <c r="E8" s="28" t="s">
        <v>26</v>
      </c>
      <c r="F8" s="28"/>
      <c r="G8" s="28"/>
      <c r="H8" s="28"/>
      <c r="I8" s="28"/>
      <c r="J8" s="28"/>
      <c r="K8" s="28"/>
      <c r="L8" s="28"/>
      <c r="M8" s="28"/>
      <c r="N8" s="28"/>
      <c r="O8" s="28"/>
    </row>
    <row r="9" spans="1:239">
      <c r="A9" s="29"/>
      <c r="B9" s="29"/>
      <c r="C9" s="30"/>
      <c r="D9" s="30"/>
      <c r="E9" s="31"/>
    </row>
    <row r="10" spans="1:239">
      <c r="A10" s="32" t="s">
        <v>27</v>
      </c>
      <c r="B10" s="32"/>
      <c r="C10" s="1"/>
      <c r="D10" s="1"/>
      <c r="E10" s="1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  <c r="EY10" s="34"/>
      <c r="EZ10" s="34"/>
      <c r="FA10" s="34"/>
      <c r="FB10" s="34"/>
      <c r="FC10" s="34"/>
      <c r="FD10" s="34"/>
      <c r="FE10" s="34"/>
      <c r="FF10" s="34"/>
      <c r="FG10" s="34"/>
      <c r="FH10" s="34"/>
      <c r="FI10" s="34"/>
      <c r="FJ10" s="34"/>
      <c r="FK10" s="34"/>
      <c r="FL10" s="34"/>
      <c r="FM10" s="34"/>
      <c r="FN10" s="34"/>
      <c r="FO10" s="34"/>
      <c r="FP10" s="34"/>
      <c r="FQ10" s="34"/>
      <c r="FR10" s="34"/>
      <c r="FS10" s="34"/>
      <c r="FT10" s="34"/>
      <c r="FU10" s="34"/>
      <c r="FV10" s="34"/>
      <c r="FW10" s="34"/>
      <c r="FX10" s="34"/>
      <c r="FY10" s="34"/>
      <c r="FZ10" s="34"/>
      <c r="GA10" s="34"/>
      <c r="GB10" s="34"/>
      <c r="GC10" s="34"/>
      <c r="GD10" s="34"/>
      <c r="GE10" s="34"/>
      <c r="GF10" s="34"/>
      <c r="GG10" s="34"/>
      <c r="GH10" s="34"/>
      <c r="GI10" s="34"/>
      <c r="GJ10" s="34"/>
      <c r="GK10" s="34"/>
      <c r="GL10" s="34"/>
      <c r="GM10" s="34"/>
      <c r="GN10" s="34"/>
      <c r="GO10" s="34"/>
      <c r="GP10" s="34"/>
      <c r="GQ10" s="34"/>
      <c r="GR10" s="34"/>
      <c r="GS10" s="34"/>
      <c r="GT10" s="34"/>
      <c r="GU10" s="34"/>
      <c r="GV10" s="34"/>
      <c r="GW10" s="34"/>
      <c r="GX10" s="34"/>
      <c r="GY10" s="34"/>
      <c r="GZ10" s="34"/>
      <c r="HA10" s="34"/>
      <c r="HB10" s="34"/>
      <c r="HC10" s="34"/>
      <c r="HD10" s="34"/>
      <c r="HE10" s="34"/>
      <c r="HF10" s="34"/>
      <c r="HG10" s="34"/>
      <c r="HH10" s="34"/>
      <c r="HI10" s="34"/>
      <c r="HJ10" s="34"/>
      <c r="HK10" s="34"/>
      <c r="HL10" s="34"/>
      <c r="HM10" s="34"/>
      <c r="HN10" s="34"/>
      <c r="HO10" s="34"/>
      <c r="HP10" s="34"/>
      <c r="HQ10" s="34"/>
      <c r="HR10" s="34"/>
      <c r="HS10" s="34"/>
      <c r="HT10" s="34"/>
      <c r="HU10" s="34"/>
      <c r="HV10" s="34"/>
      <c r="HW10" s="34"/>
      <c r="HX10" s="34"/>
      <c r="HY10" s="34"/>
      <c r="HZ10" s="34"/>
      <c r="IA10" s="34"/>
      <c r="IB10" s="34"/>
      <c r="IC10" s="34"/>
      <c r="ID10" s="34"/>
      <c r="IE10" s="34"/>
    </row>
  </sheetData>
  <mergeCells count="2">
    <mergeCell ref="B3:E3"/>
    <mergeCell ref="A2:E2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MYPC</dc:creator>
  <cp:lastModifiedBy>Анастасия Арбузова</cp:lastModifiedBy>
  <cp:lastPrinted>2026-06-25T20:52:00Z</cp:lastPrinted>
  <dcterms:created xsi:type="dcterms:W3CDTF">2023-05-12T11:15:00Z</dcterms:created>
  <dcterms:modified xsi:type="dcterms:W3CDTF">2026-06-25T20:52:16Z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47378EC02516405C8D99D091144D8BED_13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