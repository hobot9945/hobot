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831"/>
  <workbookPr/>
  <mc:AlternateContent xmlns:mc="http://schemas.openxmlformats.org/markup-compatibility/2006">
    <mc:Choice Requires="x15">
      <x15ac:absPath xmlns:x15ac="http://schemas.microsoft.com/office/spreadsheetml/2010/11/ac" url="C:\Users\Stasy\Desktop\Симанитрон\ВЭД\Kyland\"/>
    </mc:Choice>
  </mc:AlternateContent>
  <xr:revisionPtr revIDLastSave="0" documentId="13_ncr:1_{6DF0DD98-E803-46E0-B72C-22FCC7F9D652}" xr6:coauthVersionLast="47" xr6:coauthVersionMax="47" xr10:uidLastSave="{00000000-0000-0000-0000-000000000000}"/>
  <bookViews>
    <workbookView xWindow="28680" yWindow="-120" windowWidth="29040" windowHeight="15840" xr2:uid="{00000000-000D-0000-FFFF-FFFF00000000}"/>
  </bookViews>
  <sheets>
    <sheet name="Sheet1" sheetId="1" r:id="rId1"/>
    <sheet name="Лист1" sheetId="2" r:id="rId2"/>
    <sheet name="Лист2" sheetId="3" r:id="rId3"/>
  </sheets>
  <definedNames>
    <definedName name="_xlnm._FilterDatabase" localSheetId="0" hidden="1">Sheet1!$A$1:$AH$308</definedName>
    <definedName name="_xlnm._FilterDatabase" localSheetId="1" hidden="1">Лист1!$A$1:$P$128</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80" i="1" l="1"/>
  <c r="D180" i="1"/>
  <c r="G180" i="1"/>
  <c r="H180" i="1"/>
  <c r="Q180" i="1"/>
  <c r="R180" i="1"/>
  <c r="S180" i="1"/>
  <c r="T180" i="1"/>
  <c r="U180" i="1"/>
  <c r="V180" i="1" s="1"/>
  <c r="X180" i="1" s="1"/>
  <c r="AA180" i="1"/>
  <c r="AB180" i="1"/>
  <c r="AC180" i="1"/>
  <c r="AD180" i="1"/>
  <c r="AH180" i="1"/>
  <c r="D177" i="1"/>
  <c r="G177" i="1"/>
  <c r="H177" i="1"/>
  <c r="Q177" i="1"/>
  <c r="R177" i="1"/>
  <c r="S177" i="1"/>
  <c r="T177" i="1"/>
  <c r="U177" i="1"/>
  <c r="V177" i="1" s="1"/>
  <c r="X177" i="1"/>
  <c r="AA177" i="1"/>
  <c r="AB177" i="1"/>
  <c r="AC177" i="1"/>
  <c r="AD177" i="1"/>
  <c r="D178" i="1"/>
  <c r="D179" i="1"/>
  <c r="D189" i="1"/>
  <c r="AH169" i="1"/>
  <c r="AH170" i="1"/>
  <c r="AH171" i="1"/>
  <c r="AH172" i="1"/>
  <c r="AH173" i="1"/>
  <c r="AH174" i="1"/>
  <c r="AH175" i="1"/>
  <c r="AH176" i="1"/>
  <c r="AH178" i="1"/>
  <c r="AH179" i="1"/>
  <c r="AH181" i="1"/>
  <c r="AH182" i="1"/>
  <c r="AH183" i="1"/>
  <c r="AH184" i="1"/>
  <c r="AH185" i="1"/>
  <c r="AH186" i="1"/>
  <c r="AH187" i="1"/>
  <c r="AH188" i="1"/>
  <c r="AH189" i="1"/>
  <c r="AH190" i="1"/>
  <c r="AH191" i="1"/>
  <c r="AH192" i="1"/>
  <c r="AH193" i="1"/>
  <c r="AH194" i="1"/>
  <c r="AH195" i="1"/>
  <c r="AH196" i="1"/>
  <c r="AH197" i="1"/>
  <c r="AH198" i="1"/>
  <c r="AH199" i="1"/>
  <c r="AH200" i="1"/>
  <c r="AH201" i="1"/>
  <c r="AH202" i="1"/>
  <c r="AH203" i="1"/>
  <c r="AH204" i="1"/>
  <c r="AH205" i="1"/>
  <c r="AH206" i="1"/>
  <c r="AH207" i="1"/>
  <c r="AH208" i="1"/>
  <c r="AH209" i="1"/>
  <c r="AH210" i="1"/>
  <c r="AH211" i="1"/>
  <c r="AH212" i="1"/>
  <c r="AH213" i="1"/>
  <c r="AH214" i="1"/>
  <c r="AH215" i="1"/>
  <c r="AH216" i="1"/>
  <c r="AH217" i="1"/>
  <c r="AH218" i="1"/>
  <c r="AH219" i="1"/>
  <c r="AH220" i="1"/>
  <c r="AH221" i="1"/>
  <c r="AH222" i="1"/>
  <c r="AH223" i="1"/>
  <c r="AH224" i="1"/>
  <c r="AH225" i="1"/>
  <c r="AH226"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90" i="1"/>
  <c r="AH291" i="1"/>
  <c r="AH292" i="1"/>
  <c r="AH293" i="1"/>
  <c r="AH294" i="1"/>
  <c r="AH295" i="1"/>
  <c r="AH296" i="1"/>
  <c r="AH297" i="1"/>
  <c r="AH298" i="1"/>
  <c r="AH299" i="1"/>
  <c r="AH300" i="1"/>
  <c r="AH301" i="1"/>
  <c r="AH302" i="1"/>
  <c r="D174" i="1"/>
  <c r="D175" i="1"/>
  <c r="D169" i="1"/>
  <c r="AH166" i="1"/>
  <c r="AH167" i="1"/>
  <c r="AH168" i="1"/>
  <c r="D165" i="1"/>
  <c r="D160" i="1"/>
  <c r="D159" i="1"/>
  <c r="AA157" i="1"/>
  <c r="D145" i="1"/>
  <c r="H153" i="1"/>
  <c r="H154" i="1"/>
  <c r="H155" i="1"/>
  <c r="H156" i="1"/>
  <c r="H157" i="1"/>
  <c r="H158" i="1"/>
  <c r="H159" i="1"/>
  <c r="H160" i="1"/>
  <c r="H161" i="1"/>
  <c r="H162" i="1"/>
  <c r="H163" i="1"/>
  <c r="H164" i="1"/>
  <c r="H165" i="1"/>
  <c r="H166" i="1"/>
  <c r="H167" i="1"/>
  <c r="H168" i="1"/>
  <c r="H169" i="1"/>
  <c r="H170" i="1"/>
  <c r="H171" i="1"/>
  <c r="H172" i="1"/>
  <c r="H173" i="1"/>
  <c r="H174" i="1"/>
  <c r="H175" i="1"/>
  <c r="H176" i="1"/>
  <c r="H178" i="1"/>
  <c r="H179"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152" i="1"/>
  <c r="D150" i="1"/>
  <c r="AH149" i="1"/>
  <c r="X150" i="1"/>
  <c r="H150" i="1"/>
  <c r="B128" i="1"/>
  <c r="B129" i="1"/>
  <c r="B130" i="1"/>
  <c r="B131" i="1"/>
  <c r="B132" i="1"/>
  <c r="B133" i="1"/>
  <c r="B134" i="1"/>
  <c r="B135" i="1"/>
  <c r="B136" i="1"/>
  <c r="B137" i="1"/>
  <c r="B138" i="1"/>
  <c r="B139" i="1"/>
  <c r="B140" i="1"/>
  <c r="B141" i="1"/>
  <c r="B142" i="1"/>
  <c r="B143" i="1"/>
  <c r="B144" i="1"/>
  <c r="B145" i="1"/>
  <c r="B146" i="1"/>
  <c r="B147" i="1"/>
  <c r="B148"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8" i="1"/>
  <c r="B179"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149" i="1"/>
  <c r="D146" i="1"/>
  <c r="Q145" i="1"/>
  <c r="H141" i="1"/>
  <c r="H142" i="1"/>
  <c r="H143" i="1"/>
  <c r="H144" i="1"/>
  <c r="H145" i="1"/>
  <c r="AH138" i="1"/>
  <c r="AA136" i="1"/>
  <c r="AA134" i="1"/>
  <c r="H138" i="1"/>
  <c r="H139" i="1"/>
  <c r="H140" i="1"/>
  <c r="D138" i="1"/>
  <c r="D139" i="1"/>
  <c r="D136" i="1"/>
  <c r="D132" i="1"/>
  <c r="AH129" i="1"/>
  <c r="H125" i="1"/>
  <c r="H126" i="1"/>
  <c r="H127" i="1"/>
  <c r="H128" i="1"/>
  <c r="H129" i="1"/>
  <c r="H130" i="1"/>
  <c r="H131" i="1"/>
  <c r="H132" i="1"/>
  <c r="H133" i="1"/>
  <c r="H134" i="1"/>
  <c r="H135" i="1"/>
  <c r="H136" i="1"/>
  <c r="H137" i="1"/>
  <c r="H124" i="1"/>
  <c r="B124" i="1"/>
  <c r="X126" i="1"/>
  <c r="X127" i="1"/>
  <c r="X125" i="1"/>
  <c r="U126" i="1"/>
  <c r="X121" i="1"/>
  <c r="AA121" i="1"/>
  <c r="D125" i="1"/>
  <c r="D126" i="1"/>
  <c r="D127" i="1"/>
  <c r="D128" i="1"/>
  <c r="D129" i="1"/>
  <c r="D130" i="1"/>
  <c r="D131" i="1"/>
  <c r="D133" i="1"/>
  <c r="D134" i="1"/>
  <c r="D135" i="1"/>
  <c r="D120" i="1"/>
  <c r="AH117" i="1"/>
  <c r="AH118" i="1"/>
  <c r="D115" i="1"/>
  <c r="AH115" i="1"/>
  <c r="AH116" i="1"/>
  <c r="AH119" i="1"/>
  <c r="AH114" i="1"/>
  <c r="D114" i="1"/>
  <c r="B114" i="1"/>
  <c r="G114" i="1"/>
  <c r="H114" i="1"/>
  <c r="Q114" i="1"/>
  <c r="R114" i="1"/>
  <c r="S114" i="1"/>
  <c r="T114" i="1"/>
  <c r="U114" i="1"/>
  <c r="V114" i="1" s="1"/>
  <c r="AA114" i="1"/>
  <c r="AB114" i="1"/>
  <c r="AC114" i="1"/>
  <c r="AD114" i="1"/>
  <c r="X111" i="1"/>
  <c r="D111" i="1"/>
  <c r="D77" i="1"/>
  <c r="X108" i="1"/>
  <c r="X109" i="1"/>
  <c r="X110" i="1"/>
  <c r="D107" i="1"/>
  <c r="G107" i="1"/>
  <c r="H107" i="1"/>
  <c r="Q107" i="1"/>
  <c r="R107" i="1"/>
  <c r="S107" i="1"/>
  <c r="T107" i="1"/>
  <c r="U107" i="1"/>
  <c r="V107" i="1" s="1"/>
  <c r="AA107" i="1"/>
  <c r="AB107" i="1"/>
  <c r="AC107" i="1"/>
  <c r="AD107" i="1"/>
  <c r="AH107" i="1"/>
  <c r="B107" i="1"/>
  <c r="D110" i="1"/>
  <c r="D109" i="1"/>
  <c r="D106" i="1"/>
  <c r="D108" i="1"/>
  <c r="X104" i="1"/>
  <c r="AH104" i="1"/>
  <c r="AA103" i="1"/>
  <c r="AA99" i="1"/>
  <c r="Q100" i="1"/>
  <c r="D103" i="1"/>
  <c r="D104" i="1"/>
  <c r="D105" i="1"/>
  <c r="D97" i="1"/>
  <c r="D98" i="1"/>
  <c r="D95" i="1"/>
  <c r="G93" i="1"/>
  <c r="AH93" i="1"/>
  <c r="AH94" i="1"/>
  <c r="AH95" i="1"/>
  <c r="AH96" i="1"/>
  <c r="AA93" i="1"/>
  <c r="AB93" i="1"/>
  <c r="AC93" i="1"/>
  <c r="AD93" i="1"/>
  <c r="AA94" i="1"/>
  <c r="AB94" i="1"/>
  <c r="AC94" i="1"/>
  <c r="AD94" i="1"/>
  <c r="D92" i="1"/>
  <c r="X87" i="1"/>
  <c r="X88" i="1"/>
  <c r="AA88" i="1"/>
  <c r="D86" i="1"/>
  <c r="D87" i="1"/>
  <c r="U85" i="1"/>
  <c r="AH85" i="1"/>
  <c r="AH86" i="1"/>
  <c r="AH87" i="1"/>
  <c r="AH88" i="1"/>
  <c r="AH89" i="1"/>
  <c r="AH90" i="1"/>
  <c r="AH91" i="1"/>
  <c r="AH92" i="1"/>
  <c r="AH97" i="1"/>
  <c r="AH98" i="1"/>
  <c r="AH99" i="1"/>
  <c r="AH100" i="1"/>
  <c r="AH101" i="1"/>
  <c r="AH102" i="1"/>
  <c r="AH103" i="1"/>
  <c r="AH105" i="1"/>
  <c r="AH106" i="1"/>
  <c r="AH108" i="1"/>
  <c r="AH109" i="1"/>
  <c r="AH110" i="1"/>
  <c r="AH111" i="1"/>
  <c r="AH112" i="1"/>
  <c r="AH113" i="1"/>
  <c r="AH120" i="1"/>
  <c r="AH121" i="1"/>
  <c r="AH122" i="1"/>
  <c r="AH123" i="1"/>
  <c r="AH124" i="1"/>
  <c r="AH125" i="1"/>
  <c r="AH126" i="1"/>
  <c r="AH127" i="1"/>
  <c r="AH128" i="1"/>
  <c r="AH130" i="1"/>
  <c r="AH131" i="1"/>
  <c r="AH132" i="1"/>
  <c r="AH133" i="1"/>
  <c r="AH134" i="1"/>
  <c r="AH135" i="1"/>
  <c r="AH136" i="1"/>
  <c r="AH137" i="1"/>
  <c r="AH139" i="1"/>
  <c r="AH140" i="1"/>
  <c r="AH141" i="1"/>
  <c r="AH142" i="1"/>
  <c r="AH143" i="1"/>
  <c r="AH144" i="1"/>
  <c r="AH145" i="1"/>
  <c r="AH146" i="1"/>
  <c r="AH147" i="1"/>
  <c r="AH148" i="1"/>
  <c r="AH150" i="1"/>
  <c r="AH151" i="1"/>
  <c r="AH152" i="1"/>
  <c r="AH153" i="1"/>
  <c r="AH154" i="1"/>
  <c r="AH155" i="1"/>
  <c r="AH156" i="1"/>
  <c r="AH157" i="1"/>
  <c r="AH158" i="1"/>
  <c r="AH159" i="1"/>
  <c r="AH160" i="1"/>
  <c r="AH161" i="1"/>
  <c r="AH162" i="1"/>
  <c r="AH163" i="1"/>
  <c r="AH164" i="1"/>
  <c r="AH165" i="1"/>
  <c r="AH83" i="1"/>
  <c r="AH84" i="1"/>
  <c r="G83" i="1"/>
  <c r="AA84" i="1"/>
  <c r="D83" i="1"/>
  <c r="D84" i="1"/>
  <c r="D85" i="1"/>
  <c r="X82" i="1"/>
  <c r="X81" i="1"/>
  <c r="X79" i="1"/>
  <c r="D81" i="1"/>
  <c r="AH78" i="1"/>
  <c r="AH79" i="1"/>
  <c r="AH80" i="1"/>
  <c r="AH81" i="1"/>
  <c r="AH82" i="1"/>
  <c r="AH77" i="1"/>
  <c r="D79" i="1"/>
  <c r="D80" i="1"/>
  <c r="D82" i="1"/>
  <c r="AH76" i="1"/>
  <c r="AH75" i="1"/>
  <c r="X75" i="1"/>
  <c r="X76" i="1"/>
  <c r="X77" i="1"/>
  <c r="D75" i="1"/>
  <c r="D76" i="1"/>
  <c r="D88" i="1"/>
  <c r="D89" i="1"/>
  <c r="D90" i="1"/>
  <c r="D91" i="1"/>
  <c r="D93" i="1"/>
  <c r="D94" i="1"/>
  <c r="D96" i="1"/>
  <c r="D99" i="1"/>
  <c r="D100" i="1"/>
  <c r="D101" i="1"/>
  <c r="D102" i="1"/>
  <c r="D112" i="1"/>
  <c r="D113" i="1"/>
  <c r="D116" i="1"/>
  <c r="D117" i="1"/>
  <c r="D118" i="1"/>
  <c r="D119" i="1"/>
  <c r="D121" i="1"/>
  <c r="D122" i="1"/>
  <c r="D123" i="1"/>
  <c r="D124" i="1"/>
  <c r="D137" i="1"/>
  <c r="D140" i="1"/>
  <c r="D141" i="1"/>
  <c r="D142" i="1"/>
  <c r="D143" i="1"/>
  <c r="D144" i="1"/>
  <c r="D147" i="1"/>
  <c r="D148" i="1"/>
  <c r="D149" i="1"/>
  <c r="D151" i="1"/>
  <c r="D152" i="1"/>
  <c r="D161" i="1"/>
  <c r="D162" i="1"/>
  <c r="D163" i="1"/>
  <c r="D164" i="1"/>
  <c r="D166" i="1"/>
  <c r="D167" i="1"/>
  <c r="D168" i="1"/>
  <c r="D170" i="1"/>
  <c r="D171" i="1"/>
  <c r="D172" i="1"/>
  <c r="D173" i="1"/>
  <c r="D176" i="1"/>
  <c r="D181" i="1"/>
  <c r="D182" i="1"/>
  <c r="D183" i="1"/>
  <c r="D184" i="1"/>
  <c r="D185" i="1"/>
  <c r="D186" i="1"/>
  <c r="D187" i="1"/>
  <c r="D188"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78" i="1"/>
  <c r="AB74" i="1"/>
  <c r="AC74" i="1"/>
  <c r="AD74" i="1"/>
  <c r="AB75" i="1"/>
  <c r="AC75" i="1"/>
  <c r="AD75" i="1"/>
  <c r="AB76" i="1"/>
  <c r="AC76" i="1"/>
  <c r="AD76" i="1"/>
  <c r="AB77" i="1"/>
  <c r="AC77" i="1"/>
  <c r="AD77" i="1"/>
  <c r="AB78" i="1"/>
  <c r="AC78" i="1"/>
  <c r="AD78" i="1"/>
  <c r="AB79" i="1"/>
  <c r="AC79" i="1"/>
  <c r="AD79" i="1"/>
  <c r="AB80" i="1"/>
  <c r="AC80" i="1"/>
  <c r="AD80" i="1"/>
  <c r="AB81" i="1"/>
  <c r="AC81" i="1"/>
  <c r="AD81" i="1"/>
  <c r="AB82" i="1"/>
  <c r="AC82" i="1"/>
  <c r="AD82" i="1"/>
  <c r="AB83" i="1"/>
  <c r="AC83" i="1"/>
  <c r="AD83" i="1"/>
  <c r="AB84" i="1"/>
  <c r="AC84" i="1"/>
  <c r="AD84" i="1"/>
  <c r="AB85" i="1"/>
  <c r="AC85" i="1"/>
  <c r="AD85" i="1"/>
  <c r="AB86" i="1"/>
  <c r="AC86" i="1"/>
  <c r="AD86" i="1"/>
  <c r="AB87" i="1"/>
  <c r="AC87" i="1"/>
  <c r="AD87" i="1"/>
  <c r="AB88" i="1"/>
  <c r="AC88" i="1"/>
  <c r="AD88" i="1"/>
  <c r="AB89" i="1"/>
  <c r="AC89" i="1"/>
  <c r="AD89" i="1"/>
  <c r="AB90" i="1"/>
  <c r="AC90" i="1"/>
  <c r="AD90" i="1"/>
  <c r="AB91" i="1"/>
  <c r="AC91" i="1"/>
  <c r="AD91" i="1"/>
  <c r="AB92" i="1"/>
  <c r="AC92" i="1"/>
  <c r="AD92" i="1"/>
  <c r="AB95" i="1"/>
  <c r="AC95" i="1"/>
  <c r="AD95" i="1"/>
  <c r="AB96" i="1"/>
  <c r="AC96" i="1"/>
  <c r="AD96" i="1"/>
  <c r="AB97" i="1"/>
  <c r="AC97" i="1"/>
  <c r="AD97" i="1"/>
  <c r="AB98" i="1"/>
  <c r="AC98" i="1"/>
  <c r="AD98" i="1"/>
  <c r="AB99" i="1"/>
  <c r="AC99" i="1"/>
  <c r="AD99" i="1"/>
  <c r="AB100" i="1"/>
  <c r="AC100" i="1"/>
  <c r="AD100" i="1"/>
  <c r="AB101" i="1"/>
  <c r="AC101" i="1"/>
  <c r="AD101" i="1"/>
  <c r="AB102" i="1"/>
  <c r="AC102" i="1"/>
  <c r="AD102" i="1"/>
  <c r="AB103" i="1"/>
  <c r="AC103" i="1"/>
  <c r="AD103" i="1"/>
  <c r="AB104" i="1"/>
  <c r="AC104" i="1"/>
  <c r="AD104" i="1"/>
  <c r="AB105" i="1"/>
  <c r="AC105" i="1"/>
  <c r="AD105" i="1"/>
  <c r="AB106" i="1"/>
  <c r="AC106" i="1"/>
  <c r="AD106" i="1"/>
  <c r="AB108" i="1"/>
  <c r="AC108" i="1"/>
  <c r="AD108" i="1"/>
  <c r="AB109" i="1"/>
  <c r="AC109" i="1"/>
  <c r="AD109" i="1"/>
  <c r="AB110" i="1"/>
  <c r="AC110" i="1"/>
  <c r="AD110" i="1"/>
  <c r="AB111" i="1"/>
  <c r="AC111" i="1"/>
  <c r="AD111" i="1"/>
  <c r="AB112" i="1"/>
  <c r="AC112" i="1"/>
  <c r="AD112" i="1"/>
  <c r="AB113" i="1"/>
  <c r="AC113" i="1"/>
  <c r="AD113" i="1"/>
  <c r="AB115" i="1"/>
  <c r="AC115" i="1"/>
  <c r="AD115" i="1"/>
  <c r="AB116" i="1"/>
  <c r="AC116" i="1"/>
  <c r="AD116" i="1"/>
  <c r="AB119" i="1"/>
  <c r="AC119" i="1"/>
  <c r="AD119" i="1"/>
  <c r="AB120" i="1"/>
  <c r="AC120" i="1"/>
  <c r="AD120" i="1"/>
  <c r="AB121" i="1"/>
  <c r="AC121" i="1"/>
  <c r="AD121" i="1"/>
  <c r="AB122" i="1"/>
  <c r="AC122" i="1"/>
  <c r="AD122" i="1"/>
  <c r="AB123" i="1"/>
  <c r="AC123" i="1"/>
  <c r="AD123" i="1"/>
  <c r="AB124" i="1"/>
  <c r="AC124" i="1"/>
  <c r="AD124" i="1"/>
  <c r="AB125" i="1"/>
  <c r="AC125" i="1"/>
  <c r="AD125" i="1"/>
  <c r="AB126" i="1"/>
  <c r="AC126" i="1"/>
  <c r="AD126" i="1"/>
  <c r="AB127" i="1"/>
  <c r="AC127" i="1"/>
  <c r="AD127" i="1"/>
  <c r="AB128" i="1"/>
  <c r="AC128" i="1"/>
  <c r="AD128" i="1"/>
  <c r="AB129" i="1"/>
  <c r="AC129" i="1"/>
  <c r="AD129" i="1"/>
  <c r="AB130" i="1"/>
  <c r="AC130" i="1"/>
  <c r="AD130" i="1"/>
  <c r="AB131" i="1"/>
  <c r="AC131" i="1"/>
  <c r="AD131" i="1"/>
  <c r="AB132" i="1"/>
  <c r="AC132" i="1"/>
  <c r="AD132" i="1"/>
  <c r="AB133" i="1"/>
  <c r="AC133" i="1"/>
  <c r="AD133" i="1"/>
  <c r="AB134" i="1"/>
  <c r="AC134" i="1"/>
  <c r="AD134" i="1"/>
  <c r="AB135" i="1"/>
  <c r="AC135" i="1"/>
  <c r="AD135" i="1"/>
  <c r="AB136" i="1"/>
  <c r="AC136" i="1"/>
  <c r="AD136" i="1"/>
  <c r="AB137" i="1"/>
  <c r="AC137" i="1"/>
  <c r="AD137" i="1"/>
  <c r="AB138" i="1"/>
  <c r="AC138" i="1"/>
  <c r="AD138" i="1"/>
  <c r="AB139" i="1"/>
  <c r="AC139" i="1"/>
  <c r="AD139" i="1"/>
  <c r="AB140" i="1"/>
  <c r="AC140" i="1"/>
  <c r="AD140" i="1"/>
  <c r="AB141" i="1"/>
  <c r="AC141" i="1"/>
  <c r="AD141" i="1"/>
  <c r="AB142" i="1"/>
  <c r="AC142" i="1"/>
  <c r="AD142" i="1"/>
  <c r="AB143" i="1"/>
  <c r="AC143" i="1"/>
  <c r="AD143" i="1"/>
  <c r="AB144" i="1"/>
  <c r="AC144" i="1"/>
  <c r="AD144" i="1"/>
  <c r="AB145" i="1"/>
  <c r="AC145" i="1"/>
  <c r="AD145" i="1"/>
  <c r="AB146" i="1"/>
  <c r="AC146" i="1"/>
  <c r="AD146" i="1"/>
  <c r="AB147" i="1"/>
  <c r="AC147" i="1"/>
  <c r="AD147" i="1"/>
  <c r="AB148" i="1"/>
  <c r="AC148" i="1"/>
  <c r="AD148" i="1"/>
  <c r="AB149" i="1"/>
  <c r="AC149" i="1"/>
  <c r="AD149" i="1"/>
  <c r="AB150" i="1"/>
  <c r="AC150" i="1"/>
  <c r="AD150" i="1"/>
  <c r="AB151" i="1"/>
  <c r="AC151" i="1"/>
  <c r="AD151" i="1"/>
  <c r="AB152" i="1"/>
  <c r="AC152" i="1"/>
  <c r="AD152" i="1"/>
  <c r="AB153" i="1"/>
  <c r="AC153" i="1"/>
  <c r="AD153" i="1"/>
  <c r="AB154" i="1"/>
  <c r="AC154" i="1"/>
  <c r="AD154" i="1"/>
  <c r="AB155" i="1"/>
  <c r="AC155" i="1"/>
  <c r="AD155" i="1"/>
  <c r="AB156" i="1"/>
  <c r="AC156" i="1"/>
  <c r="AD156" i="1"/>
  <c r="AB157" i="1"/>
  <c r="AC157" i="1"/>
  <c r="AD157" i="1"/>
  <c r="AB158" i="1"/>
  <c r="AC158" i="1"/>
  <c r="AD158" i="1"/>
  <c r="AB159" i="1"/>
  <c r="AC159" i="1"/>
  <c r="AD159" i="1"/>
  <c r="AB160" i="1"/>
  <c r="AC160" i="1"/>
  <c r="AD160" i="1"/>
  <c r="AB161" i="1"/>
  <c r="AC161" i="1"/>
  <c r="AD161" i="1"/>
  <c r="AB162" i="1"/>
  <c r="AC162" i="1"/>
  <c r="AD162" i="1"/>
  <c r="AD163" i="1"/>
  <c r="AD164" i="1"/>
  <c r="AD165" i="1"/>
  <c r="AD166" i="1"/>
  <c r="AD167" i="1"/>
  <c r="AD168" i="1"/>
  <c r="AB169" i="1"/>
  <c r="AC169" i="1"/>
  <c r="AD169" i="1"/>
  <c r="AB170" i="1"/>
  <c r="AC170" i="1"/>
  <c r="AD170" i="1"/>
  <c r="AB171" i="1"/>
  <c r="AC171" i="1"/>
  <c r="AD171" i="1"/>
  <c r="AB172" i="1"/>
  <c r="AC172" i="1"/>
  <c r="AD172" i="1"/>
  <c r="AB173" i="1"/>
  <c r="AC173" i="1"/>
  <c r="AD173" i="1"/>
  <c r="AB174" i="1"/>
  <c r="AC174" i="1"/>
  <c r="AD174" i="1"/>
  <c r="AB175" i="1"/>
  <c r="AC175" i="1"/>
  <c r="AD175" i="1"/>
  <c r="AB176" i="1"/>
  <c r="AC176" i="1"/>
  <c r="AD176" i="1"/>
  <c r="AB178" i="1"/>
  <c r="AC178" i="1"/>
  <c r="AD178" i="1"/>
  <c r="AB179" i="1"/>
  <c r="AC179" i="1"/>
  <c r="AD179" i="1"/>
  <c r="AB181" i="1"/>
  <c r="AC181" i="1"/>
  <c r="AD181" i="1"/>
  <c r="AB182" i="1"/>
  <c r="AC182" i="1"/>
  <c r="AD182" i="1"/>
  <c r="AB183" i="1"/>
  <c r="AC183" i="1"/>
  <c r="AD183" i="1"/>
  <c r="AB184" i="1"/>
  <c r="AC184" i="1"/>
  <c r="AD184" i="1"/>
  <c r="AB185" i="1"/>
  <c r="AC185" i="1"/>
  <c r="AD185" i="1"/>
  <c r="AB186" i="1"/>
  <c r="AC186" i="1"/>
  <c r="AD186" i="1"/>
  <c r="AB187" i="1"/>
  <c r="AC187" i="1"/>
  <c r="AD187" i="1"/>
  <c r="AB188" i="1"/>
  <c r="AC188" i="1"/>
  <c r="AD188" i="1"/>
  <c r="AB189" i="1"/>
  <c r="AC189" i="1"/>
  <c r="AD189" i="1"/>
  <c r="AB190" i="1"/>
  <c r="AC190" i="1"/>
  <c r="AD190" i="1"/>
  <c r="AB191" i="1"/>
  <c r="AC191" i="1"/>
  <c r="AD191" i="1"/>
  <c r="AB192" i="1"/>
  <c r="AC192" i="1"/>
  <c r="AD192" i="1"/>
  <c r="AB193" i="1"/>
  <c r="AC193" i="1"/>
  <c r="AD193" i="1"/>
  <c r="AB194" i="1"/>
  <c r="AC194" i="1"/>
  <c r="AD194" i="1"/>
  <c r="AB195" i="1"/>
  <c r="AC195" i="1"/>
  <c r="AD195" i="1"/>
  <c r="AB196" i="1"/>
  <c r="AC196" i="1"/>
  <c r="AD196" i="1"/>
  <c r="AB197" i="1"/>
  <c r="AC197" i="1"/>
  <c r="AD197" i="1"/>
  <c r="AB198" i="1"/>
  <c r="AC198" i="1"/>
  <c r="AD198" i="1"/>
  <c r="AB199" i="1"/>
  <c r="AC199" i="1"/>
  <c r="AD199" i="1"/>
  <c r="AB200" i="1"/>
  <c r="AC200" i="1"/>
  <c r="AD200" i="1"/>
  <c r="AB201" i="1"/>
  <c r="AC201" i="1"/>
  <c r="AD201" i="1"/>
  <c r="AB202" i="1"/>
  <c r="AC202" i="1"/>
  <c r="AD202" i="1"/>
  <c r="AB203" i="1"/>
  <c r="AC203" i="1"/>
  <c r="AD203" i="1"/>
  <c r="AB204" i="1"/>
  <c r="AC204" i="1"/>
  <c r="AD204" i="1"/>
  <c r="AB205" i="1"/>
  <c r="AC205" i="1"/>
  <c r="AD205" i="1"/>
  <c r="AB206" i="1"/>
  <c r="AC206" i="1"/>
  <c r="AD206" i="1"/>
  <c r="AB207" i="1"/>
  <c r="AC207" i="1"/>
  <c r="AD207" i="1"/>
  <c r="AB208" i="1"/>
  <c r="AC208" i="1"/>
  <c r="AD208" i="1"/>
  <c r="AB209" i="1"/>
  <c r="AC209" i="1"/>
  <c r="AD209" i="1"/>
  <c r="AB210" i="1"/>
  <c r="AC210" i="1"/>
  <c r="AD210" i="1"/>
  <c r="AB211" i="1"/>
  <c r="AC211" i="1"/>
  <c r="AD211" i="1"/>
  <c r="AB212" i="1"/>
  <c r="AC212" i="1"/>
  <c r="AD212" i="1"/>
  <c r="AB213" i="1"/>
  <c r="AC213" i="1"/>
  <c r="AD213" i="1"/>
  <c r="AB214" i="1"/>
  <c r="AC214" i="1"/>
  <c r="AD214" i="1"/>
  <c r="AB215" i="1"/>
  <c r="AC215" i="1"/>
  <c r="AD215" i="1"/>
  <c r="AB216" i="1"/>
  <c r="AC216" i="1"/>
  <c r="AD216" i="1"/>
  <c r="AD73" i="1"/>
  <c r="AC73" i="1"/>
  <c r="AB73" i="1"/>
  <c r="AA74" i="1"/>
  <c r="AA75" i="1"/>
  <c r="AA76" i="1"/>
  <c r="AA77" i="1"/>
  <c r="AA78" i="1"/>
  <c r="AA79" i="1"/>
  <c r="AA80" i="1"/>
  <c r="AA81" i="1"/>
  <c r="AA82" i="1"/>
  <c r="AA83" i="1"/>
  <c r="AA85" i="1"/>
  <c r="AA86" i="1"/>
  <c r="AA87" i="1"/>
  <c r="AA90" i="1"/>
  <c r="AA91" i="1"/>
  <c r="AA92" i="1"/>
  <c r="AA95" i="1"/>
  <c r="AA96" i="1"/>
  <c r="AA97" i="1"/>
  <c r="AA98" i="1"/>
  <c r="AA100" i="1"/>
  <c r="AA101" i="1"/>
  <c r="AA102" i="1"/>
  <c r="AA104" i="1"/>
  <c r="AA105" i="1"/>
  <c r="AA106" i="1"/>
  <c r="AA108" i="1"/>
  <c r="AA109" i="1"/>
  <c r="AA110" i="1"/>
  <c r="AA111" i="1"/>
  <c r="AA112" i="1"/>
  <c r="AA113" i="1"/>
  <c r="AA115" i="1"/>
  <c r="AA116" i="1"/>
  <c r="AA119" i="1"/>
  <c r="AA120" i="1"/>
  <c r="AA122" i="1"/>
  <c r="AA123" i="1"/>
  <c r="AA124" i="1"/>
  <c r="AA125" i="1"/>
  <c r="AA126" i="1"/>
  <c r="AA127" i="1"/>
  <c r="AA128" i="1"/>
  <c r="AA129" i="1"/>
  <c r="AA130" i="1"/>
  <c r="AA131" i="1"/>
  <c r="AA132" i="1"/>
  <c r="AA133" i="1"/>
  <c r="AA135" i="1"/>
  <c r="AA137" i="1"/>
  <c r="AA138" i="1"/>
  <c r="AA139" i="1"/>
  <c r="AA140" i="1"/>
  <c r="AA141" i="1"/>
  <c r="AA142" i="1"/>
  <c r="AA143" i="1"/>
  <c r="AA144" i="1"/>
  <c r="AA145" i="1"/>
  <c r="AA146" i="1"/>
  <c r="AA147" i="1"/>
  <c r="AA148" i="1"/>
  <c r="AA149" i="1"/>
  <c r="AA150" i="1"/>
  <c r="AA151" i="1"/>
  <c r="AA152" i="1"/>
  <c r="AA153" i="1"/>
  <c r="AA154" i="1"/>
  <c r="AA155" i="1"/>
  <c r="AA156" i="1"/>
  <c r="AA158" i="1"/>
  <c r="AA159" i="1"/>
  <c r="AA160" i="1"/>
  <c r="AA161" i="1"/>
  <c r="AA162" i="1"/>
  <c r="AA172" i="1"/>
  <c r="AA176" i="1"/>
  <c r="AA178" i="1"/>
  <c r="AA179"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73" i="1"/>
  <c r="AA65" i="1"/>
  <c r="AA66" i="1"/>
  <c r="AA67" i="1"/>
  <c r="AA68" i="1"/>
  <c r="AA69" i="1"/>
  <c r="AA70" i="1"/>
  <c r="AA71" i="1"/>
  <c r="AA72" i="1"/>
  <c r="G73" i="1"/>
  <c r="D73" i="1"/>
  <c r="D74" i="1"/>
  <c r="X71" i="1" l="1"/>
  <c r="X70" i="1"/>
  <c r="D70" i="1"/>
  <c r="D71" i="1"/>
  <c r="D72" i="1"/>
  <c r="X65" i="1"/>
  <c r="X66" i="1"/>
  <c r="X67" i="1"/>
  <c r="X68" i="1"/>
  <c r="X69" i="1"/>
  <c r="D64" i="1"/>
  <c r="D65" i="1"/>
  <c r="D66" i="1"/>
  <c r="D67" i="1"/>
  <c r="D68" i="1"/>
  <c r="D69" i="1"/>
  <c r="Q62" i="1"/>
  <c r="R62" i="1"/>
  <c r="S62" i="1"/>
  <c r="T62" i="1"/>
  <c r="U62" i="1"/>
  <c r="V62" i="1" s="1"/>
  <c r="Q63" i="1"/>
  <c r="R63" i="1"/>
  <c r="S63" i="1"/>
  <c r="T63" i="1"/>
  <c r="U63" i="1"/>
  <c r="V63" i="1" s="1"/>
  <c r="Q64" i="1"/>
  <c r="R64" i="1"/>
  <c r="S64" i="1"/>
  <c r="T64" i="1"/>
  <c r="U64" i="1"/>
  <c r="V64" i="1" s="1"/>
  <c r="Q65" i="1"/>
  <c r="R65" i="1"/>
  <c r="S65" i="1"/>
  <c r="T65" i="1"/>
  <c r="U65" i="1"/>
  <c r="V65" i="1" s="1"/>
  <c r="Q66" i="1"/>
  <c r="R66" i="1"/>
  <c r="S66" i="1"/>
  <c r="T66" i="1"/>
  <c r="U66" i="1"/>
  <c r="V66" i="1" s="1"/>
  <c r="Q67" i="1"/>
  <c r="R67" i="1"/>
  <c r="S67" i="1"/>
  <c r="T67" i="1"/>
  <c r="U67" i="1"/>
  <c r="V67" i="1" s="1"/>
  <c r="Q68" i="1"/>
  <c r="R68" i="1"/>
  <c r="S68" i="1"/>
  <c r="T68" i="1"/>
  <c r="U68" i="1"/>
  <c r="V68" i="1" s="1"/>
  <c r="Q69" i="1"/>
  <c r="R69" i="1"/>
  <c r="S69" i="1"/>
  <c r="T69" i="1"/>
  <c r="U69" i="1"/>
  <c r="V69" i="1" s="1"/>
  <c r="Q70" i="1"/>
  <c r="R70" i="1"/>
  <c r="S70" i="1"/>
  <c r="T70" i="1"/>
  <c r="U70" i="1"/>
  <c r="V70" i="1" s="1"/>
  <c r="Q71" i="1"/>
  <c r="R71" i="1"/>
  <c r="S71" i="1"/>
  <c r="T71" i="1"/>
  <c r="U71" i="1"/>
  <c r="V71" i="1" s="1"/>
  <c r="Q72" i="1"/>
  <c r="R72" i="1"/>
  <c r="S72" i="1"/>
  <c r="T72" i="1"/>
  <c r="U72" i="1"/>
  <c r="V72" i="1" s="1"/>
  <c r="R73" i="1"/>
  <c r="S73" i="1"/>
  <c r="T73" i="1"/>
  <c r="U73" i="1"/>
  <c r="Q74" i="1"/>
  <c r="R74" i="1"/>
  <c r="S74" i="1"/>
  <c r="T74" i="1"/>
  <c r="U74" i="1"/>
  <c r="V74" i="1" s="1"/>
  <c r="Q75" i="1"/>
  <c r="R75" i="1"/>
  <c r="S75" i="1"/>
  <c r="T75" i="1"/>
  <c r="U75" i="1"/>
  <c r="V75" i="1" s="1"/>
  <c r="Q76" i="1"/>
  <c r="R76" i="1"/>
  <c r="S76" i="1"/>
  <c r="T76" i="1"/>
  <c r="U76" i="1"/>
  <c r="V76" i="1" s="1"/>
  <c r="Q77" i="1"/>
  <c r="R77" i="1"/>
  <c r="S77" i="1"/>
  <c r="T77" i="1"/>
  <c r="U77" i="1"/>
  <c r="V77" i="1" s="1"/>
  <c r="Q78" i="1"/>
  <c r="R78" i="1"/>
  <c r="S78" i="1"/>
  <c r="T78" i="1"/>
  <c r="U78" i="1"/>
  <c r="V78" i="1" s="1"/>
  <c r="Q79" i="1"/>
  <c r="R79" i="1"/>
  <c r="S79" i="1"/>
  <c r="T79" i="1"/>
  <c r="U79" i="1"/>
  <c r="V79" i="1" s="1"/>
  <c r="Q80" i="1"/>
  <c r="R80" i="1"/>
  <c r="S80" i="1"/>
  <c r="T80" i="1"/>
  <c r="U80" i="1"/>
  <c r="V80" i="1" s="1"/>
  <c r="Q81" i="1"/>
  <c r="R81" i="1"/>
  <c r="S81" i="1"/>
  <c r="T81" i="1"/>
  <c r="U81" i="1"/>
  <c r="V81" i="1" s="1"/>
  <c r="Q82" i="1"/>
  <c r="R82" i="1"/>
  <c r="S82" i="1"/>
  <c r="T82" i="1"/>
  <c r="U82" i="1"/>
  <c r="V82" i="1" s="1"/>
  <c r="Q83" i="1"/>
  <c r="R83" i="1"/>
  <c r="S83" i="1"/>
  <c r="T83" i="1"/>
  <c r="U83" i="1"/>
  <c r="V83" i="1" s="1"/>
  <c r="Q84" i="1"/>
  <c r="R84" i="1"/>
  <c r="S84" i="1"/>
  <c r="T84" i="1"/>
  <c r="U84" i="1"/>
  <c r="V84" i="1" s="1"/>
  <c r="Q85" i="1"/>
  <c r="R85" i="1"/>
  <c r="S85" i="1"/>
  <c r="T85" i="1"/>
  <c r="V85" i="1"/>
  <c r="Q86" i="1"/>
  <c r="R86" i="1"/>
  <c r="S86" i="1"/>
  <c r="T86" i="1"/>
  <c r="U86" i="1"/>
  <c r="V86" i="1" s="1"/>
  <c r="Q87" i="1"/>
  <c r="R87" i="1"/>
  <c r="S87" i="1"/>
  <c r="T87" i="1"/>
  <c r="U87" i="1"/>
  <c r="V87" i="1" s="1"/>
  <c r="Q88" i="1"/>
  <c r="R88" i="1"/>
  <c r="S88" i="1"/>
  <c r="T88" i="1"/>
  <c r="U88" i="1"/>
  <c r="V88" i="1" s="1"/>
  <c r="Q89" i="1"/>
  <c r="R89" i="1"/>
  <c r="S89" i="1"/>
  <c r="T89" i="1"/>
  <c r="U89" i="1"/>
  <c r="V89" i="1" s="1"/>
  <c r="X89" i="1"/>
  <c r="U90" i="1"/>
  <c r="V90" i="1" s="1"/>
  <c r="Q91" i="1"/>
  <c r="R91" i="1"/>
  <c r="S91" i="1"/>
  <c r="T91" i="1"/>
  <c r="U91" i="1"/>
  <c r="V91" i="1" s="1"/>
  <c r="Q92" i="1"/>
  <c r="R92" i="1"/>
  <c r="S92" i="1"/>
  <c r="T92" i="1"/>
  <c r="U92" i="1"/>
  <c r="V92" i="1" s="1"/>
  <c r="Q93" i="1"/>
  <c r="R93" i="1"/>
  <c r="S93" i="1"/>
  <c r="T93" i="1"/>
  <c r="V93" i="1"/>
  <c r="Q94" i="1"/>
  <c r="R94" i="1"/>
  <c r="S94" i="1"/>
  <c r="T94" i="1"/>
  <c r="V94" i="1"/>
  <c r="Q95" i="1"/>
  <c r="R95" i="1"/>
  <c r="S95" i="1"/>
  <c r="T95" i="1"/>
  <c r="U95" i="1"/>
  <c r="V95" i="1" s="1"/>
  <c r="X95" i="1"/>
  <c r="Q96" i="1"/>
  <c r="R96" i="1"/>
  <c r="S96" i="1"/>
  <c r="T96" i="1"/>
  <c r="U96" i="1"/>
  <c r="V96" i="1" s="1"/>
  <c r="X96" i="1"/>
  <c r="Q97" i="1"/>
  <c r="R97" i="1"/>
  <c r="S97" i="1"/>
  <c r="T97" i="1"/>
  <c r="U97" i="1"/>
  <c r="V97" i="1" s="1"/>
  <c r="X97" i="1"/>
  <c r="Q98" i="1"/>
  <c r="R98" i="1"/>
  <c r="S98" i="1"/>
  <c r="T98" i="1"/>
  <c r="U98" i="1"/>
  <c r="V98" i="1" s="1"/>
  <c r="X98" i="1"/>
  <c r="Q99" i="1"/>
  <c r="R99" i="1"/>
  <c r="S99" i="1"/>
  <c r="T99" i="1"/>
  <c r="U99" i="1"/>
  <c r="V99" i="1" s="1"/>
  <c r="R100" i="1"/>
  <c r="S100" i="1"/>
  <c r="T100" i="1"/>
  <c r="U100" i="1"/>
  <c r="V100" i="1" s="1"/>
  <c r="Q101" i="1"/>
  <c r="R101" i="1"/>
  <c r="S101" i="1"/>
  <c r="T101" i="1"/>
  <c r="U101" i="1"/>
  <c r="V101" i="1" s="1"/>
  <c r="Q102" i="1"/>
  <c r="R102" i="1"/>
  <c r="S102" i="1"/>
  <c r="T102" i="1"/>
  <c r="U102" i="1"/>
  <c r="V102" i="1" s="1"/>
  <c r="Q103" i="1"/>
  <c r="R103" i="1"/>
  <c r="S103" i="1"/>
  <c r="T103" i="1"/>
  <c r="U103" i="1"/>
  <c r="V103" i="1" s="1"/>
  <c r="Q104" i="1"/>
  <c r="R104" i="1"/>
  <c r="S104" i="1"/>
  <c r="T104" i="1"/>
  <c r="U104" i="1"/>
  <c r="V104" i="1" s="1"/>
  <c r="Q105" i="1"/>
  <c r="R105" i="1"/>
  <c r="S105" i="1"/>
  <c r="T105" i="1"/>
  <c r="U105" i="1"/>
  <c r="V105" i="1" s="1"/>
  <c r="Q106" i="1"/>
  <c r="R106" i="1"/>
  <c r="S106" i="1"/>
  <c r="T106" i="1"/>
  <c r="U106" i="1"/>
  <c r="V106" i="1" s="1"/>
  <c r="Q108" i="1"/>
  <c r="R108" i="1"/>
  <c r="S108" i="1"/>
  <c r="T108" i="1"/>
  <c r="U108" i="1"/>
  <c r="V108" i="1" s="1"/>
  <c r="Q109" i="1"/>
  <c r="R109" i="1"/>
  <c r="S109" i="1"/>
  <c r="T109" i="1"/>
  <c r="U109" i="1"/>
  <c r="V109" i="1" s="1"/>
  <c r="Q110" i="1"/>
  <c r="R110" i="1"/>
  <c r="S110" i="1"/>
  <c r="T110" i="1"/>
  <c r="U110" i="1"/>
  <c r="V110" i="1" s="1"/>
  <c r="Q111" i="1"/>
  <c r="R111" i="1"/>
  <c r="S111" i="1"/>
  <c r="T111" i="1"/>
  <c r="U111" i="1"/>
  <c r="V111" i="1" s="1"/>
  <c r="Q112" i="1"/>
  <c r="R112" i="1"/>
  <c r="S112" i="1"/>
  <c r="T112" i="1"/>
  <c r="U112" i="1"/>
  <c r="V112" i="1" s="1"/>
  <c r="Q113" i="1"/>
  <c r="R113" i="1"/>
  <c r="S113" i="1"/>
  <c r="T113" i="1"/>
  <c r="U113" i="1"/>
  <c r="Q115" i="1"/>
  <c r="R115" i="1"/>
  <c r="S115" i="1"/>
  <c r="T115" i="1"/>
  <c r="U115" i="1"/>
  <c r="V115" i="1" s="1"/>
  <c r="Q116" i="1"/>
  <c r="R116" i="1"/>
  <c r="S116" i="1"/>
  <c r="T116" i="1"/>
  <c r="U116" i="1"/>
  <c r="V116" i="1" s="1"/>
  <c r="Q117" i="1"/>
  <c r="R117" i="1"/>
  <c r="S117" i="1"/>
  <c r="T117" i="1"/>
  <c r="U117" i="1"/>
  <c r="V117" i="1" s="1"/>
  <c r="Q118" i="1"/>
  <c r="R118" i="1"/>
  <c r="S118" i="1"/>
  <c r="T118" i="1"/>
  <c r="U118" i="1"/>
  <c r="V118" i="1" s="1"/>
  <c r="Q119" i="1"/>
  <c r="R119" i="1"/>
  <c r="S119" i="1"/>
  <c r="T119" i="1"/>
  <c r="U119" i="1"/>
  <c r="V119" i="1" s="1"/>
  <c r="Q120" i="1"/>
  <c r="R120" i="1"/>
  <c r="S120" i="1"/>
  <c r="T120" i="1"/>
  <c r="U120" i="1"/>
  <c r="V120" i="1" s="1"/>
  <c r="Q121" i="1"/>
  <c r="R121" i="1"/>
  <c r="S121" i="1"/>
  <c r="T121" i="1"/>
  <c r="U121" i="1"/>
  <c r="V121" i="1" s="1"/>
  <c r="Q122" i="1"/>
  <c r="R122" i="1"/>
  <c r="S122" i="1"/>
  <c r="T122" i="1"/>
  <c r="U122" i="1"/>
  <c r="V122" i="1" s="1"/>
  <c r="Q123" i="1"/>
  <c r="R123" i="1"/>
  <c r="S123" i="1"/>
  <c r="T123" i="1"/>
  <c r="U123" i="1"/>
  <c r="V123" i="1" s="1"/>
  <c r="Q124" i="1"/>
  <c r="R124" i="1"/>
  <c r="S124" i="1"/>
  <c r="T124" i="1"/>
  <c r="U124" i="1"/>
  <c r="V124" i="1" s="1"/>
  <c r="Q125" i="1"/>
  <c r="R125" i="1"/>
  <c r="S125" i="1"/>
  <c r="T125" i="1"/>
  <c r="U125" i="1"/>
  <c r="V125" i="1" s="1"/>
  <c r="Q126" i="1"/>
  <c r="R126" i="1"/>
  <c r="S126" i="1"/>
  <c r="T126" i="1"/>
  <c r="V126" i="1"/>
  <c r="Q127" i="1"/>
  <c r="R127" i="1"/>
  <c r="S127" i="1"/>
  <c r="T127" i="1"/>
  <c r="U127" i="1"/>
  <c r="V127" i="1" s="1"/>
  <c r="Q128" i="1"/>
  <c r="R128" i="1"/>
  <c r="S128" i="1"/>
  <c r="T128" i="1"/>
  <c r="U128" i="1"/>
  <c r="V128" i="1" s="1"/>
  <c r="Q129" i="1"/>
  <c r="R129" i="1"/>
  <c r="S129" i="1"/>
  <c r="T129" i="1"/>
  <c r="U129" i="1"/>
  <c r="V129" i="1" s="1"/>
  <c r="Q130" i="1"/>
  <c r="R130" i="1"/>
  <c r="S130" i="1"/>
  <c r="T130" i="1"/>
  <c r="U130" i="1"/>
  <c r="V130" i="1" s="1"/>
  <c r="Q131" i="1"/>
  <c r="R131" i="1"/>
  <c r="S131" i="1"/>
  <c r="T131" i="1"/>
  <c r="U131" i="1"/>
  <c r="V131" i="1" s="1"/>
  <c r="Q132" i="1"/>
  <c r="R132" i="1"/>
  <c r="S132" i="1"/>
  <c r="T132" i="1"/>
  <c r="U132" i="1"/>
  <c r="V132" i="1" s="1"/>
  <c r="Q133" i="1"/>
  <c r="R133" i="1"/>
  <c r="S133" i="1"/>
  <c r="T133" i="1"/>
  <c r="U133" i="1"/>
  <c r="V133" i="1" s="1"/>
  <c r="Q134" i="1"/>
  <c r="R134" i="1"/>
  <c r="S134" i="1"/>
  <c r="T134" i="1"/>
  <c r="U134" i="1"/>
  <c r="V134" i="1" s="1"/>
  <c r="Q135" i="1"/>
  <c r="R135" i="1"/>
  <c r="S135" i="1"/>
  <c r="T135" i="1"/>
  <c r="U135" i="1"/>
  <c r="V135" i="1" s="1"/>
  <c r="Q136" i="1"/>
  <c r="R136" i="1"/>
  <c r="S136" i="1"/>
  <c r="T136" i="1"/>
  <c r="U136" i="1"/>
  <c r="V136" i="1" s="1"/>
  <c r="Q137" i="1"/>
  <c r="R137" i="1"/>
  <c r="S137" i="1"/>
  <c r="T137" i="1"/>
  <c r="U137" i="1"/>
  <c r="V137" i="1" s="1"/>
  <c r="Q138" i="1"/>
  <c r="R138" i="1"/>
  <c r="S138" i="1"/>
  <c r="T138" i="1"/>
  <c r="U138" i="1"/>
  <c r="V138" i="1" s="1"/>
  <c r="Q139" i="1"/>
  <c r="R139" i="1"/>
  <c r="S139" i="1"/>
  <c r="T139" i="1"/>
  <c r="U139" i="1"/>
  <c r="V139" i="1" s="1"/>
  <c r="Q140" i="1"/>
  <c r="R140" i="1"/>
  <c r="S140" i="1"/>
  <c r="T140" i="1"/>
  <c r="U140" i="1"/>
  <c r="V140" i="1" s="1"/>
  <c r="Q141" i="1"/>
  <c r="R141" i="1"/>
  <c r="S141" i="1"/>
  <c r="T141" i="1"/>
  <c r="U141" i="1"/>
  <c r="V141" i="1" s="1"/>
  <c r="Q142" i="1"/>
  <c r="R142" i="1"/>
  <c r="S142" i="1"/>
  <c r="T142" i="1"/>
  <c r="U142" i="1"/>
  <c r="V142" i="1" s="1"/>
  <c r="Q143" i="1"/>
  <c r="R143" i="1"/>
  <c r="S143" i="1"/>
  <c r="T143" i="1"/>
  <c r="U143" i="1"/>
  <c r="V143" i="1" s="1"/>
  <c r="Q144" i="1"/>
  <c r="R144" i="1"/>
  <c r="S144" i="1"/>
  <c r="T144" i="1"/>
  <c r="U144" i="1"/>
  <c r="V144" i="1" s="1"/>
  <c r="R145" i="1"/>
  <c r="S145" i="1"/>
  <c r="T145" i="1"/>
  <c r="U145" i="1"/>
  <c r="V145" i="1" s="1"/>
  <c r="Q146" i="1"/>
  <c r="R146" i="1"/>
  <c r="S146" i="1"/>
  <c r="T146" i="1"/>
  <c r="U146" i="1"/>
  <c r="V146" i="1" s="1"/>
  <c r="W146" i="1" s="1"/>
  <c r="Q147" i="1"/>
  <c r="R147" i="1"/>
  <c r="S147" i="1"/>
  <c r="T147" i="1"/>
  <c r="U147" i="1"/>
  <c r="V147" i="1" s="1"/>
  <c r="W147" i="1" s="1"/>
  <c r="Q148" i="1"/>
  <c r="R148" i="1"/>
  <c r="S148" i="1"/>
  <c r="T148" i="1"/>
  <c r="U148" i="1"/>
  <c r="V148" i="1" s="1"/>
  <c r="W148" i="1" s="1"/>
  <c r="Q149" i="1"/>
  <c r="R149" i="1"/>
  <c r="S149" i="1"/>
  <c r="T149" i="1"/>
  <c r="U149" i="1"/>
  <c r="V149" i="1" s="1"/>
  <c r="Q150" i="1"/>
  <c r="R150" i="1"/>
  <c r="S150" i="1"/>
  <c r="T150" i="1"/>
  <c r="U150" i="1"/>
  <c r="V150" i="1" s="1"/>
  <c r="Q151" i="1"/>
  <c r="R151" i="1"/>
  <c r="S151" i="1"/>
  <c r="T151" i="1"/>
  <c r="U151" i="1"/>
  <c r="V151" i="1" s="1"/>
  <c r="Q152" i="1"/>
  <c r="R152" i="1"/>
  <c r="S152" i="1"/>
  <c r="T152" i="1"/>
  <c r="U152" i="1"/>
  <c r="V152" i="1" s="1"/>
  <c r="Q153" i="1"/>
  <c r="R153" i="1"/>
  <c r="S153" i="1"/>
  <c r="T153" i="1"/>
  <c r="V153" i="1"/>
  <c r="X153" i="1"/>
  <c r="Q154" i="1"/>
  <c r="R154" i="1"/>
  <c r="S154" i="1"/>
  <c r="T154" i="1"/>
  <c r="U154" i="1"/>
  <c r="V154" i="1" s="1"/>
  <c r="X154" i="1"/>
  <c r="Q155" i="1"/>
  <c r="R155" i="1"/>
  <c r="S155" i="1"/>
  <c r="T155" i="1"/>
  <c r="U155" i="1"/>
  <c r="V155" i="1" s="1"/>
  <c r="X155" i="1"/>
  <c r="Q156" i="1"/>
  <c r="R156" i="1"/>
  <c r="S156" i="1"/>
  <c r="T156" i="1"/>
  <c r="U156" i="1"/>
  <c r="V156" i="1" s="1"/>
  <c r="X156" i="1"/>
  <c r="Q157" i="1"/>
  <c r="R157" i="1"/>
  <c r="S157" i="1"/>
  <c r="T157" i="1"/>
  <c r="U157" i="1"/>
  <c r="V157" i="1" s="1"/>
  <c r="X157" i="1"/>
  <c r="Q158" i="1"/>
  <c r="R158" i="1"/>
  <c r="S158" i="1"/>
  <c r="T158" i="1"/>
  <c r="U158" i="1"/>
  <c r="V158" i="1" s="1"/>
  <c r="X158" i="1"/>
  <c r="Q159" i="1"/>
  <c r="R159" i="1"/>
  <c r="S159" i="1"/>
  <c r="T159" i="1"/>
  <c r="U159" i="1"/>
  <c r="V159" i="1" s="1"/>
  <c r="Q160" i="1"/>
  <c r="R160" i="1"/>
  <c r="S160" i="1"/>
  <c r="T160" i="1"/>
  <c r="U160" i="1"/>
  <c r="V160" i="1" s="1"/>
  <c r="Q161" i="1"/>
  <c r="R161" i="1"/>
  <c r="S161" i="1"/>
  <c r="T161" i="1"/>
  <c r="U161" i="1"/>
  <c r="V161" i="1" s="1"/>
  <c r="Q162" i="1"/>
  <c r="R162" i="1"/>
  <c r="S162" i="1"/>
  <c r="T162" i="1"/>
  <c r="U162" i="1"/>
  <c r="V162" i="1" s="1"/>
  <c r="Q163" i="1"/>
  <c r="R163" i="1"/>
  <c r="S163" i="1"/>
  <c r="T163" i="1"/>
  <c r="U163" i="1"/>
  <c r="V163" i="1" s="1"/>
  <c r="X163" i="1"/>
  <c r="Q164" i="1"/>
  <c r="R164" i="1"/>
  <c r="S164" i="1"/>
  <c r="T164" i="1"/>
  <c r="U164" i="1"/>
  <c r="V164" i="1" s="1"/>
  <c r="Q165" i="1"/>
  <c r="R165" i="1"/>
  <c r="S165" i="1"/>
  <c r="T165" i="1"/>
  <c r="U165" i="1"/>
  <c r="V165" i="1" s="1"/>
  <c r="X165" i="1"/>
  <c r="Q166" i="1"/>
  <c r="R166" i="1"/>
  <c r="S166" i="1"/>
  <c r="T166" i="1"/>
  <c r="U166" i="1"/>
  <c r="V166" i="1" s="1"/>
  <c r="X166" i="1"/>
  <c r="Q167" i="1"/>
  <c r="R167" i="1"/>
  <c r="S167" i="1"/>
  <c r="T167" i="1"/>
  <c r="U167" i="1"/>
  <c r="V167" i="1" s="1"/>
  <c r="X167" i="1"/>
  <c r="Q168" i="1"/>
  <c r="R168" i="1"/>
  <c r="S168" i="1"/>
  <c r="T168" i="1"/>
  <c r="U168" i="1"/>
  <c r="V168" i="1" s="1"/>
  <c r="X168" i="1"/>
  <c r="R169" i="1"/>
  <c r="S169" i="1"/>
  <c r="T169" i="1"/>
  <c r="U169" i="1"/>
  <c r="V169" i="1" s="1"/>
  <c r="Q170" i="1"/>
  <c r="R170" i="1"/>
  <c r="S170" i="1"/>
  <c r="T170" i="1"/>
  <c r="U170" i="1"/>
  <c r="V170" i="1" s="1"/>
  <c r="Q171" i="1"/>
  <c r="R171" i="1"/>
  <c r="S171" i="1"/>
  <c r="T171" i="1"/>
  <c r="U171" i="1"/>
  <c r="V171" i="1" s="1"/>
  <c r="Q172" i="1"/>
  <c r="R172" i="1"/>
  <c r="S172" i="1"/>
  <c r="T172" i="1"/>
  <c r="U172" i="1"/>
  <c r="V172" i="1" s="1"/>
  <c r="Q173" i="1"/>
  <c r="R173" i="1"/>
  <c r="S173" i="1"/>
  <c r="T173" i="1"/>
  <c r="U173" i="1"/>
  <c r="V173" i="1" s="1"/>
  <c r="Q174" i="1"/>
  <c r="R174" i="1"/>
  <c r="S174" i="1"/>
  <c r="T174" i="1"/>
  <c r="U174" i="1"/>
  <c r="V174" i="1" s="1"/>
  <c r="Q175" i="1"/>
  <c r="R175" i="1"/>
  <c r="S175" i="1"/>
  <c r="T175" i="1"/>
  <c r="U175" i="1"/>
  <c r="V175" i="1" s="1"/>
  <c r="Q176" i="1"/>
  <c r="R176" i="1"/>
  <c r="S176" i="1"/>
  <c r="T176" i="1"/>
  <c r="U176" i="1"/>
  <c r="V176" i="1" s="1"/>
  <c r="X176" i="1" s="1"/>
  <c r="Q178" i="1"/>
  <c r="R178" i="1"/>
  <c r="S178" i="1"/>
  <c r="T178" i="1"/>
  <c r="U178" i="1"/>
  <c r="X178" i="1" s="1"/>
  <c r="Q179" i="1"/>
  <c r="R179" i="1"/>
  <c r="S179" i="1"/>
  <c r="T179" i="1"/>
  <c r="U179" i="1"/>
  <c r="V179" i="1" s="1"/>
  <c r="W179" i="1" s="1"/>
  <c r="X179" i="1" s="1"/>
  <c r="Q181" i="1"/>
  <c r="R181" i="1"/>
  <c r="S181" i="1"/>
  <c r="T181" i="1"/>
  <c r="U181" i="1"/>
  <c r="V181" i="1" s="1"/>
  <c r="X181" i="1" s="1"/>
  <c r="Q182" i="1"/>
  <c r="R182" i="1"/>
  <c r="S182" i="1"/>
  <c r="T182" i="1"/>
  <c r="U182" i="1"/>
  <c r="V182" i="1" s="1"/>
  <c r="X182" i="1" s="1"/>
  <c r="Q183" i="1"/>
  <c r="R183" i="1"/>
  <c r="S183" i="1"/>
  <c r="T183" i="1"/>
  <c r="U183" i="1"/>
  <c r="V183" i="1" s="1"/>
  <c r="W183" i="1" s="1"/>
  <c r="X183" i="1" s="1"/>
  <c r="Q184" i="1"/>
  <c r="R184" i="1"/>
  <c r="S184" i="1"/>
  <c r="T184" i="1"/>
  <c r="U184" i="1"/>
  <c r="V184" i="1" s="1"/>
  <c r="W184" i="1" s="1"/>
  <c r="X184" i="1" s="1"/>
  <c r="Q185" i="1"/>
  <c r="R185" i="1"/>
  <c r="S185" i="1"/>
  <c r="T185" i="1"/>
  <c r="U185" i="1"/>
  <c r="V185" i="1" s="1"/>
  <c r="X185" i="1"/>
  <c r="Q186" i="1"/>
  <c r="R186" i="1"/>
  <c r="S186" i="1"/>
  <c r="T186" i="1"/>
  <c r="U186" i="1"/>
  <c r="V186" i="1" s="1"/>
  <c r="X186" i="1"/>
  <c r="Q187" i="1"/>
  <c r="R187" i="1"/>
  <c r="S187" i="1"/>
  <c r="T187" i="1"/>
  <c r="U187" i="1"/>
  <c r="V187" i="1" s="1"/>
  <c r="X187" i="1"/>
  <c r="Q188" i="1"/>
  <c r="R188" i="1"/>
  <c r="S188" i="1"/>
  <c r="T188" i="1"/>
  <c r="U188" i="1"/>
  <c r="V188" i="1" s="1"/>
  <c r="X188" i="1"/>
  <c r="Q189" i="1"/>
  <c r="R189" i="1"/>
  <c r="S189" i="1"/>
  <c r="T189" i="1"/>
  <c r="U189" i="1"/>
  <c r="V189" i="1" s="1"/>
  <c r="X189" i="1"/>
  <c r="Q190" i="1"/>
  <c r="R190" i="1"/>
  <c r="S190" i="1"/>
  <c r="T190" i="1"/>
  <c r="U190" i="1"/>
  <c r="V190" i="1" s="1"/>
  <c r="X190" i="1"/>
  <c r="Q191" i="1"/>
  <c r="R191" i="1"/>
  <c r="S191" i="1"/>
  <c r="T191" i="1"/>
  <c r="U191" i="1"/>
  <c r="V191" i="1" s="1"/>
  <c r="X191" i="1"/>
  <c r="Q192" i="1"/>
  <c r="R192" i="1"/>
  <c r="S192" i="1"/>
  <c r="T192" i="1"/>
  <c r="U192" i="1"/>
  <c r="V192" i="1" s="1"/>
  <c r="X192" i="1"/>
  <c r="Q193" i="1"/>
  <c r="R193" i="1"/>
  <c r="S193" i="1"/>
  <c r="T193" i="1"/>
  <c r="U193" i="1"/>
  <c r="V193" i="1" s="1"/>
  <c r="X193" i="1"/>
  <c r="Q194" i="1"/>
  <c r="R194" i="1"/>
  <c r="S194" i="1"/>
  <c r="T194" i="1"/>
  <c r="U194" i="1"/>
  <c r="V194" i="1" s="1"/>
  <c r="X194" i="1"/>
  <c r="Q195" i="1"/>
  <c r="R195" i="1"/>
  <c r="S195" i="1"/>
  <c r="T195" i="1"/>
  <c r="U195" i="1"/>
  <c r="V195" i="1" s="1"/>
  <c r="X195" i="1"/>
  <c r="Q196" i="1"/>
  <c r="R196" i="1"/>
  <c r="S196" i="1"/>
  <c r="T196" i="1"/>
  <c r="U196" i="1"/>
  <c r="V196" i="1" s="1"/>
  <c r="X196" i="1"/>
  <c r="Q197" i="1"/>
  <c r="R197" i="1"/>
  <c r="S197" i="1"/>
  <c r="T197" i="1"/>
  <c r="U197" i="1"/>
  <c r="V197" i="1" s="1"/>
  <c r="X197" i="1"/>
  <c r="Q198" i="1"/>
  <c r="R198" i="1"/>
  <c r="S198" i="1"/>
  <c r="T198" i="1"/>
  <c r="U198" i="1"/>
  <c r="V198" i="1" s="1"/>
  <c r="X198" i="1"/>
  <c r="Q199" i="1"/>
  <c r="R199" i="1"/>
  <c r="S199" i="1"/>
  <c r="T199" i="1"/>
  <c r="U199" i="1"/>
  <c r="V199" i="1" s="1"/>
  <c r="X199" i="1"/>
  <c r="Q200" i="1"/>
  <c r="R200" i="1"/>
  <c r="S200" i="1"/>
  <c r="T200" i="1"/>
  <c r="U200" i="1"/>
  <c r="V200" i="1" s="1"/>
  <c r="X200" i="1"/>
  <c r="Q201" i="1"/>
  <c r="R201" i="1"/>
  <c r="S201" i="1"/>
  <c r="T201" i="1"/>
  <c r="U201" i="1"/>
  <c r="V201" i="1" s="1"/>
  <c r="X201" i="1"/>
  <c r="Q202" i="1"/>
  <c r="R202" i="1"/>
  <c r="S202" i="1"/>
  <c r="T202" i="1"/>
  <c r="U202" i="1"/>
  <c r="V202" i="1" s="1"/>
  <c r="X202" i="1"/>
  <c r="Q203" i="1"/>
  <c r="R203" i="1"/>
  <c r="S203" i="1"/>
  <c r="T203" i="1"/>
  <c r="U203" i="1"/>
  <c r="V203" i="1" s="1"/>
  <c r="X203" i="1"/>
  <c r="Q204" i="1"/>
  <c r="R204" i="1"/>
  <c r="S204" i="1"/>
  <c r="T204" i="1"/>
  <c r="U204" i="1"/>
  <c r="V204" i="1" s="1"/>
  <c r="X204" i="1"/>
  <c r="Q205" i="1"/>
  <c r="R205" i="1"/>
  <c r="S205" i="1"/>
  <c r="T205" i="1"/>
  <c r="U205" i="1"/>
  <c r="V205" i="1" s="1"/>
  <c r="X205" i="1"/>
  <c r="Q206" i="1"/>
  <c r="R206" i="1"/>
  <c r="S206" i="1"/>
  <c r="T206" i="1"/>
  <c r="U206" i="1"/>
  <c r="V206" i="1" s="1"/>
  <c r="X206" i="1"/>
  <c r="Q207" i="1"/>
  <c r="R207" i="1"/>
  <c r="S207" i="1"/>
  <c r="T207" i="1"/>
  <c r="U207" i="1"/>
  <c r="V207" i="1" s="1"/>
  <c r="X207" i="1"/>
  <c r="Q208" i="1"/>
  <c r="R208" i="1"/>
  <c r="S208" i="1"/>
  <c r="T208" i="1"/>
  <c r="U208" i="1"/>
  <c r="V208" i="1" s="1"/>
  <c r="X208" i="1"/>
  <c r="Q209" i="1"/>
  <c r="R209" i="1"/>
  <c r="S209" i="1"/>
  <c r="T209" i="1"/>
  <c r="U209" i="1"/>
  <c r="V209" i="1" s="1"/>
  <c r="X209" i="1"/>
  <c r="Q210" i="1"/>
  <c r="R210" i="1"/>
  <c r="S210" i="1"/>
  <c r="T210" i="1"/>
  <c r="U210" i="1"/>
  <c r="V210" i="1" s="1"/>
  <c r="X210" i="1"/>
  <c r="Q211" i="1"/>
  <c r="R211" i="1"/>
  <c r="S211" i="1"/>
  <c r="T211" i="1"/>
  <c r="U211" i="1"/>
  <c r="V211" i="1" s="1"/>
  <c r="X211" i="1"/>
  <c r="Q212" i="1"/>
  <c r="R212" i="1"/>
  <c r="S212" i="1"/>
  <c r="T212" i="1"/>
  <c r="U212" i="1"/>
  <c r="V212" i="1" s="1"/>
  <c r="X212" i="1"/>
  <c r="Q213" i="1"/>
  <c r="R213" i="1"/>
  <c r="S213" i="1"/>
  <c r="T213" i="1"/>
  <c r="U213" i="1"/>
  <c r="V213" i="1" s="1"/>
  <c r="X213" i="1"/>
  <c r="Q214" i="1"/>
  <c r="R214" i="1"/>
  <c r="S214" i="1"/>
  <c r="T214" i="1"/>
  <c r="U214" i="1"/>
  <c r="V214" i="1" s="1"/>
  <c r="X214" i="1"/>
  <c r="Q215" i="1"/>
  <c r="R215" i="1"/>
  <c r="S215" i="1"/>
  <c r="T215" i="1"/>
  <c r="U215" i="1"/>
  <c r="V215" i="1" s="1"/>
  <c r="X215" i="1"/>
  <c r="AA63" i="1"/>
  <c r="AB63" i="1"/>
  <c r="AC63" i="1"/>
  <c r="AD63" i="1"/>
  <c r="AD62" i="1"/>
  <c r="AC62" i="1"/>
  <c r="AB62" i="1"/>
  <c r="AA62" i="1"/>
  <c r="U61" i="1"/>
  <c r="T61" i="1"/>
  <c r="S61" i="1"/>
  <c r="R61" i="1"/>
  <c r="Q61" i="1"/>
  <c r="G62"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8" i="1"/>
  <c r="B109" i="1"/>
  <c r="B110" i="1"/>
  <c r="B111" i="1"/>
  <c r="B112" i="1"/>
  <c r="B113" i="1"/>
  <c r="B115" i="1"/>
  <c r="B116" i="1"/>
  <c r="B117" i="1"/>
  <c r="B118" i="1"/>
  <c r="B119" i="1"/>
  <c r="B120" i="1"/>
  <c r="B121" i="1"/>
  <c r="B122" i="1"/>
  <c r="B123" i="1"/>
  <c r="B127" i="1"/>
  <c r="B61" i="1"/>
  <c r="D63"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8" i="1"/>
  <c r="H109" i="1"/>
  <c r="H110" i="1"/>
  <c r="H111" i="1"/>
  <c r="H112" i="1"/>
  <c r="H113" i="1"/>
  <c r="H115" i="1"/>
  <c r="H116" i="1"/>
  <c r="H117" i="1"/>
  <c r="H118" i="1"/>
  <c r="H119" i="1"/>
  <c r="H120" i="1"/>
  <c r="H121" i="1"/>
  <c r="H122" i="1"/>
  <c r="H123" i="1"/>
  <c r="H146" i="1"/>
  <c r="H147" i="1"/>
  <c r="H148" i="1"/>
  <c r="H149" i="1"/>
  <c r="H151" i="1"/>
  <c r="H61" i="1"/>
  <c r="D62" i="1"/>
  <c r="H13" i="1"/>
  <c r="H40" i="1"/>
  <c r="X53" i="1"/>
  <c r="X55" i="1"/>
  <c r="X56" i="1"/>
  <c r="X57" i="1"/>
  <c r="X58" i="1"/>
  <c r="X59" i="1"/>
  <c r="X60" i="1"/>
  <c r="X61" i="1"/>
  <c r="X54" i="1"/>
  <c r="AB53" i="1"/>
  <c r="AC53" i="1"/>
  <c r="AD53" i="1"/>
  <c r="AB54" i="1"/>
  <c r="AC54" i="1"/>
  <c r="AD54" i="1"/>
  <c r="AD55" i="1"/>
  <c r="AC55" i="1"/>
  <c r="AB55" i="1"/>
  <c r="AA53" i="1"/>
  <c r="AA54" i="1"/>
  <c r="AA55" i="1"/>
  <c r="U53" i="1"/>
  <c r="U54" i="1"/>
  <c r="U55" i="1"/>
  <c r="R53" i="1"/>
  <c r="S53" i="1"/>
  <c r="T53" i="1"/>
  <c r="R54" i="1"/>
  <c r="S54" i="1"/>
  <c r="T54" i="1"/>
  <c r="Q53" i="1"/>
  <c r="Q54" i="1"/>
  <c r="T55" i="1"/>
  <c r="S55" i="1"/>
  <c r="R55" i="1"/>
  <c r="Q55" i="1"/>
  <c r="H53" i="1"/>
  <c r="H54" i="1"/>
  <c r="H55" i="1"/>
  <c r="B53" i="1"/>
  <c r="B54" i="1"/>
  <c r="B52" i="1"/>
  <c r="U56" i="1"/>
  <c r="U57" i="1"/>
  <c r="U58" i="1"/>
  <c r="U59" i="1"/>
  <c r="U60" i="1"/>
  <c r="D53" i="1"/>
  <c r="D54" i="1"/>
  <c r="D55" i="1"/>
  <c r="D56" i="1"/>
  <c r="D57" i="1"/>
  <c r="D58" i="1"/>
  <c r="D59" i="1"/>
  <c r="D60" i="1"/>
  <c r="D61" i="1"/>
  <c r="U52" i="1"/>
  <c r="G63" i="1"/>
  <c r="G175"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G45" i="1" l="1"/>
  <c r="G46" i="1"/>
  <c r="G47" i="1"/>
  <c r="G48" i="1"/>
  <c r="G49" i="1"/>
  <c r="G50" i="1"/>
  <c r="G51" i="1"/>
  <c r="G52" i="1"/>
  <c r="G53" i="1"/>
  <c r="G280" i="1"/>
  <c r="G281" i="1"/>
  <c r="G282" i="1"/>
  <c r="G283" i="1"/>
  <c r="G284" i="1"/>
  <c r="G285" i="1"/>
  <c r="G286" i="1"/>
  <c r="G287" i="1"/>
  <c r="G288" i="1"/>
  <c r="G289" i="1"/>
  <c r="G290" i="1"/>
  <c r="G291" i="1"/>
  <c r="G292" i="1"/>
  <c r="G293" i="1"/>
  <c r="G294" i="1"/>
  <c r="G295" i="1"/>
  <c r="G296" i="1"/>
  <c r="G297" i="1"/>
  <c r="G298" i="1"/>
  <c r="G299" i="1"/>
  <c r="G300" i="1"/>
  <c r="G301" i="1"/>
  <c r="G302" i="1"/>
  <c r="H45" i="1"/>
  <c r="H46" i="1"/>
  <c r="H47" i="1"/>
  <c r="H48" i="1"/>
  <c r="H49" i="1"/>
  <c r="H50" i="1"/>
  <c r="H51" i="1"/>
  <c r="H52" i="1"/>
  <c r="H56" i="1"/>
  <c r="H57" i="1"/>
  <c r="H58" i="1"/>
  <c r="H59" i="1"/>
  <c r="H60" i="1"/>
  <c r="D45" i="1"/>
  <c r="D46" i="1"/>
  <c r="D47" i="1"/>
  <c r="D48" i="1"/>
  <c r="D49" i="1"/>
  <c r="D50" i="1"/>
  <c r="D51" i="1"/>
  <c r="D52" i="1"/>
  <c r="B45" i="1"/>
  <c r="B46" i="1"/>
  <c r="B47" i="1"/>
  <c r="B48" i="1"/>
  <c r="B49" i="1"/>
  <c r="B50" i="1"/>
  <c r="B51" i="1"/>
  <c r="B55" i="1"/>
  <c r="B56" i="1"/>
  <c r="B57" i="1"/>
  <c r="B58" i="1"/>
  <c r="B59" i="1"/>
  <c r="B60" i="1"/>
  <c r="X42" i="1" l="1"/>
  <c r="X43" i="1"/>
  <c r="X44" i="1"/>
  <c r="H41" i="1"/>
  <c r="D43" i="1"/>
  <c r="D44" i="1"/>
  <c r="D40" i="1"/>
  <c r="D41" i="1"/>
  <c r="D36" i="1"/>
  <c r="D37" i="1"/>
  <c r="D38" i="1"/>
  <c r="D39" i="1"/>
  <c r="D42" i="1"/>
  <c r="G41" i="1"/>
  <c r="G54" i="1"/>
  <c r="G55" i="1"/>
  <c r="G56" i="1"/>
  <c r="G57" i="1"/>
  <c r="G58" i="1"/>
  <c r="G59" i="1"/>
  <c r="G60" i="1"/>
  <c r="G61" i="1"/>
  <c r="G64" i="1"/>
  <c r="G65" i="1"/>
  <c r="G66" i="1"/>
  <c r="G67" i="1"/>
  <c r="G68" i="1"/>
  <c r="G69" i="1"/>
  <c r="G70" i="1"/>
  <c r="G71" i="1"/>
  <c r="G72" i="1"/>
  <c r="G74" i="1"/>
  <c r="G75" i="1"/>
  <c r="G76" i="1"/>
  <c r="G77" i="1"/>
  <c r="G78" i="1"/>
  <c r="G79" i="1"/>
  <c r="G80" i="1"/>
  <c r="G81" i="1"/>
  <c r="G82" i="1"/>
  <c r="G84" i="1"/>
  <c r="G85" i="1"/>
  <c r="G86" i="1"/>
  <c r="G87" i="1"/>
  <c r="G88" i="1"/>
  <c r="G89" i="1"/>
  <c r="G90" i="1"/>
  <c r="G91" i="1"/>
  <c r="G92" i="1"/>
  <c r="G94" i="1"/>
  <c r="G95" i="1"/>
  <c r="G96" i="1"/>
  <c r="G97" i="1"/>
  <c r="G98" i="1"/>
  <c r="G99" i="1"/>
  <c r="G100" i="1"/>
  <c r="G101" i="1"/>
  <c r="G102" i="1"/>
  <c r="G103" i="1"/>
  <c r="G104" i="1"/>
  <c r="G105" i="1"/>
  <c r="G106" i="1"/>
  <c r="G108" i="1"/>
  <c r="G109" i="1"/>
  <c r="G110" i="1"/>
  <c r="G111" i="1"/>
  <c r="G112" i="1"/>
  <c r="G113"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6" i="1"/>
  <c r="G178" i="1"/>
  <c r="G179"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X32" i="1" l="1"/>
  <c r="X33" i="1"/>
  <c r="X34" i="1"/>
  <c r="X35" i="1"/>
  <c r="D31" i="1"/>
  <c r="D32" i="1"/>
  <c r="D33" i="1"/>
  <c r="D34" i="1"/>
  <c r="D35" i="1"/>
  <c r="D29" i="1" l="1"/>
  <c r="X25" i="1"/>
  <c r="X26" i="1"/>
  <c r="X27" i="1"/>
  <c r="X28" i="1"/>
  <c r="X29" i="1"/>
  <c r="X30" i="1"/>
  <c r="V24" i="1" l="1"/>
  <c r="D24" i="1" l="1"/>
  <c r="D25" i="1"/>
  <c r="D26" i="1"/>
  <c r="D27" i="1"/>
  <c r="D28" i="1"/>
  <c r="D30" i="1"/>
  <c r="D23" i="1"/>
  <c r="AD20" i="1"/>
  <c r="AD21" i="1"/>
  <c r="AD22" i="1"/>
  <c r="AD23" i="1"/>
  <c r="AD28" i="1"/>
  <c r="AD29" i="1"/>
  <c r="AD31" i="1"/>
  <c r="AD32" i="1"/>
  <c r="AD37" i="1"/>
  <c r="AD41" i="1"/>
  <c r="AD49" i="1"/>
  <c r="AD58" i="1"/>
  <c r="AD64" i="1"/>
  <c r="AD70" i="1"/>
  <c r="AD71" i="1"/>
  <c r="AD72" i="1"/>
  <c r="AC20" i="1"/>
  <c r="AC21" i="1"/>
  <c r="AC22" i="1"/>
  <c r="AC23" i="1"/>
  <c r="AC28" i="1"/>
  <c r="AC29" i="1"/>
  <c r="AC31" i="1"/>
  <c r="AC32" i="1"/>
  <c r="AC37" i="1"/>
  <c r="AC41" i="1"/>
  <c r="AC49" i="1"/>
  <c r="AC58" i="1"/>
  <c r="AC64" i="1"/>
  <c r="AC70" i="1"/>
  <c r="AC71" i="1"/>
  <c r="AC72" i="1"/>
  <c r="AB20" i="1"/>
  <c r="AB21" i="1"/>
  <c r="AB22" i="1"/>
  <c r="AB23" i="1"/>
  <c r="AB28" i="1"/>
  <c r="AB29" i="1"/>
  <c r="AB31" i="1"/>
  <c r="AB32" i="1"/>
  <c r="AB37" i="1"/>
  <c r="AB41" i="1"/>
  <c r="AB49" i="1"/>
  <c r="AB58" i="1"/>
  <c r="AB64" i="1"/>
  <c r="AB70" i="1"/>
  <c r="AB71" i="1"/>
  <c r="AB72" i="1"/>
  <c r="AA28" i="1"/>
  <c r="AA29" i="1"/>
  <c r="AA31" i="1"/>
  <c r="AA32" i="1"/>
  <c r="AA37" i="1"/>
  <c r="AA41" i="1"/>
  <c r="AA49" i="1"/>
  <c r="AA58" i="1"/>
  <c r="AA64"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6" i="1"/>
  <c r="T57" i="1"/>
  <c r="T58" i="1"/>
  <c r="T59" i="1"/>
  <c r="T60"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6" i="1"/>
  <c r="S57" i="1"/>
  <c r="S58" i="1"/>
  <c r="S59" i="1"/>
  <c r="S60"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6" i="1"/>
  <c r="R57" i="1"/>
  <c r="R58" i="1"/>
  <c r="R59" i="1"/>
  <c r="R60"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6" i="1"/>
  <c r="Q57" i="1"/>
  <c r="Q58" i="1"/>
  <c r="Q59" i="1"/>
  <c r="Q60" i="1"/>
  <c r="H14" i="1"/>
  <c r="H15" i="1"/>
  <c r="H16" i="1"/>
  <c r="H17" i="1"/>
  <c r="H18" i="1"/>
  <c r="H19" i="1"/>
  <c r="H20" i="1"/>
  <c r="H21" i="1"/>
  <c r="H22" i="1"/>
  <c r="H23" i="1"/>
  <c r="H24" i="1"/>
  <c r="H25" i="1"/>
  <c r="H26" i="1"/>
  <c r="H27" i="1"/>
  <c r="H28" i="1"/>
  <c r="H29" i="1"/>
  <c r="H30" i="1"/>
  <c r="H31" i="1"/>
  <c r="H32" i="1"/>
  <c r="H33" i="1"/>
  <c r="H34" i="1"/>
  <c r="H35" i="1"/>
  <c r="H36" i="1"/>
  <c r="H37" i="1"/>
  <c r="H38" i="1"/>
  <c r="H39" i="1"/>
  <c r="H42" i="1"/>
  <c r="H43" i="1"/>
  <c r="H44" i="1"/>
  <c r="X22" i="1" l="1"/>
  <c r="D22" i="1"/>
  <c r="B22" i="1" l="1"/>
  <c r="V52" i="1" l="1"/>
  <c r="V53" i="1"/>
  <c r="V54" i="1"/>
  <c r="V55" i="1"/>
  <c r="V56" i="1"/>
  <c r="V57" i="1"/>
  <c r="V58" i="1"/>
  <c r="V59" i="1"/>
  <c r="V60" i="1"/>
  <c r="V61" i="1"/>
  <c r="B21" i="1"/>
  <c r="D21" i="1"/>
  <c r="B23" i="1" l="1"/>
  <c r="B24" i="1"/>
  <c r="B25" i="1"/>
  <c r="B26" i="1"/>
  <c r="B27" i="1"/>
  <c r="B28" i="1"/>
  <c r="B29" i="1"/>
  <c r="B30" i="1"/>
  <c r="B31" i="1"/>
  <c r="B32" i="1"/>
  <c r="B33" i="1"/>
  <c r="B34" i="1"/>
  <c r="B35" i="1"/>
  <c r="B36" i="1"/>
  <c r="B37" i="1"/>
  <c r="B38" i="1"/>
  <c r="B39" i="1"/>
  <c r="B40" i="1"/>
  <c r="B41" i="1"/>
  <c r="B42" i="1"/>
  <c r="B43" i="1"/>
  <c r="B44" i="1"/>
  <c r="U21" i="1"/>
  <c r="U22" i="1"/>
  <c r="V22" i="1" s="1"/>
  <c r="U23" i="1"/>
  <c r="V23" i="1" s="1"/>
  <c r="U25" i="1"/>
  <c r="V25" i="1" s="1"/>
  <c r="U26" i="1"/>
  <c r="V26" i="1" s="1"/>
  <c r="U27" i="1"/>
  <c r="V27" i="1" s="1"/>
  <c r="U28" i="1"/>
  <c r="V28" i="1" s="1"/>
  <c r="U29" i="1"/>
  <c r="V29" i="1" s="1"/>
  <c r="U30" i="1"/>
  <c r="V30" i="1" s="1"/>
  <c r="U31" i="1"/>
  <c r="V31" i="1" s="1"/>
  <c r="U32" i="1"/>
  <c r="V32" i="1" s="1"/>
  <c r="U33" i="1"/>
  <c r="V33" i="1" s="1"/>
  <c r="U34" i="1"/>
  <c r="V34" i="1" s="1"/>
  <c r="U35" i="1"/>
  <c r="V35" i="1" s="1"/>
  <c r="U36" i="1"/>
  <c r="V36" i="1" s="1"/>
  <c r="U37" i="1"/>
  <c r="V37" i="1" s="1"/>
  <c r="U38" i="1"/>
  <c r="V38" i="1" s="1"/>
  <c r="U39" i="1"/>
  <c r="V39" i="1" s="1"/>
  <c r="U40" i="1"/>
  <c r="V40" i="1" s="1"/>
  <c r="U41" i="1"/>
  <c r="V41" i="1" s="1"/>
  <c r="U42" i="1"/>
  <c r="V42" i="1" s="1"/>
  <c r="U43" i="1"/>
  <c r="V43" i="1" s="1"/>
  <c r="U44" i="1"/>
  <c r="V44" i="1" s="1"/>
  <c r="U45" i="1"/>
  <c r="V45" i="1" s="1"/>
  <c r="U46" i="1"/>
  <c r="U47" i="1"/>
  <c r="U48" i="1"/>
  <c r="U49" i="1"/>
  <c r="U50" i="1"/>
  <c r="V50" i="1" s="1"/>
  <c r="U51" i="1"/>
  <c r="V51" i="1" s="1"/>
  <c r="U12" i="1" l="1"/>
  <c r="V12" i="1" s="1"/>
  <c r="V13" i="1"/>
  <c r="U14" i="1"/>
  <c r="V14" i="1" s="1"/>
  <c r="V15" i="1"/>
  <c r="V16" i="1"/>
  <c r="V17" i="1"/>
  <c r="V18" i="1"/>
  <c r="V19" i="1"/>
  <c r="U20" i="1"/>
  <c r="V20" i="1" s="1"/>
  <c r="T12" i="1"/>
  <c r="X13" i="1"/>
  <c r="X14" i="1"/>
  <c r="X15" i="1"/>
  <c r="X16" i="1"/>
  <c r="X17" i="1"/>
  <c r="X18" i="1"/>
  <c r="X19" i="1"/>
  <c r="X12" i="1"/>
  <c r="D3" i="1" l="1"/>
  <c r="D4" i="1"/>
  <c r="D5" i="1"/>
  <c r="D6" i="1"/>
  <c r="D7" i="1"/>
  <c r="D8" i="1"/>
  <c r="D9" i="1"/>
  <c r="D10" i="1"/>
  <c r="D11" i="1"/>
  <c r="D12" i="1"/>
  <c r="D13" i="1"/>
  <c r="D14" i="1"/>
  <c r="D15" i="1"/>
  <c r="D16" i="1"/>
  <c r="D17" i="1"/>
  <c r="D18" i="1"/>
  <c r="D19" i="1"/>
  <c r="D20" i="1"/>
  <c r="D2" i="1"/>
  <c r="B2" i="1"/>
  <c r="B3" i="1"/>
  <c r="B4" i="1"/>
  <c r="B5" i="1"/>
  <c r="B6" i="1"/>
  <c r="B7" i="1"/>
  <c r="B8" i="1"/>
  <c r="B9" i="1"/>
  <c r="B10" i="1"/>
  <c r="B11" i="1"/>
  <c r="B12" i="1"/>
  <c r="B13" i="1"/>
  <c r="AD14" i="1"/>
  <c r="AD19" i="1"/>
  <c r="AC14" i="1"/>
  <c r="AC19" i="1"/>
  <c r="AB14" i="1"/>
  <c r="AB19" i="1"/>
  <c r="AA14" i="1"/>
  <c r="AA19" i="1"/>
  <c r="T13" i="1"/>
  <c r="S13" i="1"/>
  <c r="S12" i="1"/>
  <c r="R13" i="1"/>
  <c r="R12" i="1"/>
  <c r="Q12" i="1"/>
  <c r="Q13" i="1"/>
  <c r="H12" i="1"/>
  <c r="B14" i="1"/>
  <c r="B15" i="1"/>
  <c r="B16" i="1"/>
  <c r="B17" i="1"/>
  <c r="B18" i="1"/>
  <c r="B19" i="1"/>
  <c r="B20" i="1"/>
  <c r="G44" i="1" l="1"/>
  <c r="G43" i="1"/>
  <c r="G42"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W7" i="1" l="1"/>
  <c r="X7" i="1" s="1"/>
  <c r="W8" i="1"/>
  <c r="W9" i="1"/>
  <c r="W10" i="1"/>
  <c r="W11" i="1"/>
  <c r="W305" i="1"/>
  <c r="W306" i="1"/>
  <c r="W307" i="1"/>
  <c r="W308" i="1"/>
  <c r="G9" i="1" l="1"/>
  <c r="G10" i="1"/>
  <c r="G8" i="1"/>
  <c r="G7" i="1" l="1"/>
  <c r="W3" i="1" l="1"/>
  <c r="X3" i="1" s="1"/>
  <c r="W4" i="1"/>
  <c r="X4" i="1" s="1"/>
  <c r="W5" i="1"/>
  <c r="X5" i="1" s="1"/>
  <c r="W6" i="1"/>
  <c r="X6" i="1" s="1"/>
  <c r="W2" i="1"/>
  <c r="G3" i="1"/>
  <c r="G4" i="1"/>
  <c r="G5" i="1"/>
  <c r="G6" i="1"/>
  <c r="G2" i="1" l="1"/>
</calcChain>
</file>

<file path=xl/sharedStrings.xml><?xml version="1.0" encoding="utf-8"?>
<sst xmlns="http://schemas.openxmlformats.org/spreadsheetml/2006/main" count="3507" uniqueCount="314">
  <si>
    <t>КОД ТН ВЭД</t>
  </si>
  <si>
    <t>Модель</t>
  </si>
  <si>
    <t>количество</t>
  </si>
  <si>
    <t>цена за шт</t>
  </si>
  <si>
    <t>стоимость</t>
  </si>
  <si>
    <t xml:space="preserve">наименование </t>
  </si>
  <si>
    <t>номер нотификации</t>
  </si>
  <si>
    <t>дата нотификации</t>
  </si>
  <si>
    <t>старна происхождения</t>
  </si>
  <si>
    <t>Марка</t>
  </si>
  <si>
    <t>отсутствует</t>
  </si>
  <si>
    <t xml:space="preserve">тов знак </t>
  </si>
  <si>
    <t>ед. измерения</t>
  </si>
  <si>
    <t>шт</t>
  </si>
  <si>
    <t>код упаковки грузового места</t>
  </si>
  <si>
    <t>CT</t>
  </si>
  <si>
    <t>производитель</t>
  </si>
  <si>
    <t xml:space="preserve">SICOM3016 - промышленные коммутаторы с пониженным потреблением питания, которые могут применяться в ветроэнергетике, распределительных сетях, подстанциях, энергетических SCADA-системах, системах водоочистки, на автомагистралях, в металлургии и других сферах.Напряжение питания 
24DC (18-36VDC), 
Потребляемая мощность 
менее 9.7 Вт </t>
  </si>
  <si>
    <t>Kyland Technology Co., Ltd.</t>
  </si>
  <si>
    <t>KYLAND</t>
  </si>
  <si>
    <t>RU0000033119</t>
  </si>
  <si>
    <t>дата начала действия нотификации</t>
  </si>
  <si>
    <t>дата конца действия нотификации</t>
  </si>
  <si>
    <t xml:space="preserve">SICOM3016-2S16T-SC40-L3-L3-S
</t>
  </si>
  <si>
    <t>название нотификации</t>
  </si>
  <si>
    <t>SICOM3028GPT-L3G-MB-HV-HV-S</t>
  </si>
  <si>
    <t>SM6.6-2GX2GE-1U-S</t>
  </si>
  <si>
    <t>SM6.6-4GX-0.5U-S</t>
  </si>
  <si>
    <t>SM6.6-4GE-0.5U-S</t>
  </si>
  <si>
    <t xml:space="preserve">SICOM3028GPT-L3G-MB-HV-HV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Напряжение питания: 220VAC/DC (85-264VAC/77-370VDC) </t>
  </si>
  <si>
    <t>Описание
Интерфейсный Ethernet модуль – специально разработан для коммутаторов серии SICOM3028GPT и имеет в своем составе различные типы интерфейсов в зависимости от модели. Предназначен для подключения к коммутатору других устройств, например, других коммутаторов, посредством кабелей. Модуль SM6.6-2GX2GE-1U имеет в своем составе 2 порта 10/100/1000Base-T(X) RJ45 и 2 порта 1000Base-X SFP.
Энергопотребление: 3W
Корпус: Металл, без вентиляторов
Класс защиты: IP40
Габариты (ШxВxГ):
1U: 50.8x41.1x109.2мм
Вес: 0.3 кг</t>
  </si>
  <si>
    <t>Описание
Интерфейсный Ethernet модуль – специально разработан для коммутаторов серии SICOM3028GPT и имеет в своем составе различные типы интерфейсов в зависимости от модели. Предназначен для подключения к коммутатору других устройств, например, других коммутаторов, посредством кабелей. Модуль SM6.6-4GE-0.5U имеет в своем составе 4 порта 10/100/1000Base-T(X) RJ45
Характеристики
Энергопотребление: 3W
Корпус: Металл, без вентиляторов
Класс защиты: IP40
Габариты (ШxВxГ):
0.5U: 122.6x20.25x106.6мм
Вес: 0.3 к</t>
  </si>
  <si>
    <t xml:space="preserve">
Описание
Интерфейсный Ethernet модуль – специально разработан для коммутаторов серии SICOM3028GPT и имеет в своем составе различные типы интерфейсов в зависимости от модели. Предназначен для подключения к коммутатору других устройств, например, других коммутаторов, посредством кабелей. Модуль SM6.6-4GX-0.5U имеет в своем составе 4x1000Base-X, 100Base-FX SFP порта.
Характеристики
Энергопотребление: 3W
Корпус: Металл, без вентиляторов
Класс защиты: IP40
Габариты (ШxВxГ):
0.5U: 122.6x20.25x106.6мм
Вес: 0.3 кг</t>
  </si>
  <si>
    <t>RU0000032872</t>
  </si>
  <si>
    <t>RU0000033122</t>
  </si>
  <si>
    <t>БРУТТО общий</t>
  </si>
  <si>
    <t>Название документа</t>
  </si>
  <si>
    <t>номер Декларации соответствия</t>
  </si>
  <si>
    <t>дата Декларации соответствия</t>
  </si>
  <si>
    <t>дата начала действия Декларации соответствия</t>
  </si>
  <si>
    <t>дата конца действия Декларации соответствия</t>
  </si>
  <si>
    <t>Декларации соответствия</t>
  </si>
  <si>
    <t>ЕАЭС N RU Д-CN.КА01.В.23216/20</t>
  </si>
  <si>
    <t>код документа</t>
  </si>
  <si>
    <t>SICOM3024P-4GX24T-HV-HV-S</t>
  </si>
  <si>
    <t xml:space="preserve">SICOM3024P - промышленные коммутаторы.Данный коммутатор предназначен для передачи Ethernet пакетов по сетям передачи данным по оптическим и медным средам передачи данных. Данным коммутатором поддерживаются протоколы шифрования SSL и HTTPS использующий асимметричную криптографию для аутентификации ключей обмена и симметричное шифрование для сохранения конфиденциальности. Данный коммутатор поддерживает протокол SSH для создания шифрованного тоннеля передачи данных. Данный коммутатор имеет систему защиты интерфейса настроек назначаемым паролем. Напряжение питания 
Резервированное: 220VAC/DCW (85-264 Вольт переменного тока/77-30018-36 Вольт постоянного тока) </t>
  </si>
  <si>
    <t>RU0000033121</t>
  </si>
  <si>
    <t>ЕАЭС N RU Д-CN.КА01.В.17403/19</t>
  </si>
  <si>
    <t>01191</t>
  </si>
  <si>
    <t>SICOM3028GPT-L2F-MB-HV-HV-S</t>
  </si>
  <si>
    <t>SM6.6-4GE-1U-S</t>
  </si>
  <si>
    <t>SM6.6-4M-ST05-0.5U-S</t>
  </si>
  <si>
    <t>SICOM3000-8T-HV-S</t>
  </si>
  <si>
    <t xml:space="preserve">SICOM3028GPT-L2F-MB-HV-HV-S - промышленные коммутаторы с широким спектром сфер применния и модульным дизайном для простоты масштабирования и расширения функционала устройства.     Напряжение питания Резервированное: 220VAC/VDC (77-300VDC/85-264VAC) </t>
  </si>
  <si>
    <t>Описание
Интерфейсный Ethernet модуль – специально разработан для коммутаторов серии SICOM3028GPT и имеет в своем составе различные типы интерфейсов в зависимости от модели. Предназначен для подключения к коммутатору других устройств, например, других коммутаторов, посредством кабелей. Модуль SM6.6-4GE-1U-S имеет в своем составе 4 порта 10/100/1000Base-T(X) RJ45. 
Характеристики
Энергопотребление: 3W
Корпус: Металл, без вентиляторов
Класс защиты: IP40
Габариты (ШxВxГ):
1U: 50.8x41.1x109.2мм
Вес: 0.3 кг</t>
  </si>
  <si>
    <t>Описание
Интерфейсный Ethernet модуль – специально разработан для коммутаторов серии SICOM3028GPT и имеет в своем составе различные типы интерфейсов в зависимости от модели. Предназначен для подключения к коммутатору других устройств, например, других коммутаторов, посредством кабелей. Модуль SM6.6-4M-ST05-0.5U-S имеет в своем составе 4x100Base-FX оптических порта, многомод., коннектор SТ, 5км.
Характеристики
Энергопотребление: 3W
Корпус: Металл, без вентиляторов
Класс защиты: IP40
Габариты (ШxВxГ):
0.5U: 122.6x20.25x106.6мм
Вес: 0.3 кг</t>
  </si>
  <si>
    <t>SICOM3000-8T-HV-S - промышленные коммутаторы с пониженным потреблением питания, которые могут применяться в ветроэнергетике, распределительных сетях, подстанциях, энергетических SCADA-системах, системах водоочистки, на автомагистралях, в металлургии и других сферах. Напряжение питания 220AC/DC(132-300VAC/176-400VDC)</t>
  </si>
  <si>
    <t>RU0000033118</t>
  </si>
  <si>
    <t>артикул</t>
  </si>
  <si>
    <t>ДТ</t>
  </si>
  <si>
    <t>10005030/260620/0173975</t>
  </si>
  <si>
    <t>Код ТН ВЭД</t>
  </si>
  <si>
    <t>Стоимость за единицу</t>
  </si>
  <si>
    <t>Номер нотификации</t>
  </si>
  <si>
    <t xml:space="preserve">Дата </t>
  </si>
  <si>
    <t>Дата начала действия</t>
  </si>
  <si>
    <t>Дата окончания  действия</t>
  </si>
  <si>
    <t xml:space="preserve">вес нетто чистый </t>
  </si>
  <si>
    <t>Номер ДС</t>
  </si>
  <si>
    <t>дата ДС</t>
  </si>
  <si>
    <t>дата  начала действия ДС</t>
  </si>
  <si>
    <t>дата окончания действия ДС</t>
  </si>
  <si>
    <t>SICOM3307S-3G7P-L10-L10-S</t>
  </si>
  <si>
    <t>KPS2204-2T4D-L3-L3-S</t>
  </si>
  <si>
    <t>SM6.6-4GX-1U-S</t>
  </si>
  <si>
    <t>SICOM3009A-8T-L2-L2-S</t>
  </si>
  <si>
    <t>не требуется</t>
  </si>
  <si>
    <t>не требеутся</t>
  </si>
  <si>
    <t xml:space="preserve">
Декларация о соответствии</t>
  </si>
  <si>
    <t>Прочее</t>
  </si>
  <si>
    <t>прочее</t>
  </si>
  <si>
    <t>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ПЛАСТИКОВЫМИ ЗАГЛУШКАМИ ДЛЯ ПОРТОВ, МЕТАЛЛИЧЕСКИМИ УГОЛКАМИ И ПЛАСТИНАМИ ДЛЯ КРЕПЛЕНИЯ</t>
  </si>
  <si>
    <t>Нотификация</t>
  </si>
  <si>
    <t>общий вес нетто по упаковочному</t>
  </si>
  <si>
    <t>вес чистый за единицу</t>
  </si>
  <si>
    <t>SICOM3216-16T-L2-L2-S</t>
  </si>
  <si>
    <t>10005030/090920/0260337</t>
  </si>
  <si>
    <t>SICOM3009A-1S7T-SC40-L2-L2-S</t>
  </si>
  <si>
    <t>SICOM3000-2S6T-SC40-L2-L2-S</t>
  </si>
  <si>
    <t>SYM3000A-8T-L2-L2</t>
  </si>
  <si>
    <t>SYM3000A-2SFP8T-L2-L2</t>
  </si>
  <si>
    <t>SYM3000A-4SFP16T-L2-L2</t>
  </si>
  <si>
    <t>SICOM3000-2M6T-SC05-HV-S</t>
  </si>
  <si>
    <t>SYM3000A-8T-HV</t>
  </si>
  <si>
    <t>RU0000049917</t>
  </si>
  <si>
    <t>ЕАЭС N RU Д-CN.КА01.В.27192/20</t>
  </si>
  <si>
    <t xml:space="preserve">не требуется </t>
  </si>
  <si>
    <t>SICOM3024P-4GX16S8T-SC40-HV-HV-S</t>
  </si>
  <si>
    <t>SM6.6-4T-0.5U-S</t>
  </si>
  <si>
    <t>21.10.2020 с батарейками</t>
  </si>
  <si>
    <t>10005030/031120/0330735</t>
  </si>
  <si>
    <t>10005030/170920/0270653</t>
  </si>
  <si>
    <t>10005030/210920/0274803</t>
  </si>
  <si>
    <t>10005030/030520/0123310</t>
  </si>
  <si>
    <t>10005030/030520/0123319</t>
  </si>
  <si>
    <t>10005030/030620/0150971</t>
  </si>
  <si>
    <t>Наименование</t>
  </si>
  <si>
    <t>SICOM3009A-8T-HV-S</t>
  </si>
  <si>
    <t>SYM3000A-16T-L2-L2</t>
  </si>
  <si>
    <t>KOM300A-1M2T-SC05-L2-L2-S</t>
  </si>
  <si>
    <t>SYM6000A-8GE-L2-L2</t>
  </si>
  <si>
    <t>ЕАЭС N RU Д-CN.НВ54.В.04091/20</t>
  </si>
  <si>
    <t>RU0000049918</t>
  </si>
  <si>
    <t>RU0000032871</t>
  </si>
  <si>
    <t>SICOM3028GPT-L2GT-MB-HV-HV-S</t>
  </si>
  <si>
    <t>SM6.6-4S-SC40-0.5U-S</t>
  </si>
  <si>
    <t>SICOM3028GPT-L3FT-MB-HV-HV-S</t>
  </si>
  <si>
    <t>SM6.6-4M-SC05-0.5U-S</t>
  </si>
  <si>
    <t>SICOM3028GPT-L3FT-MB-L3-L3-S</t>
  </si>
  <si>
    <t>10005030/231120/0359603</t>
  </si>
  <si>
    <t>10005030/041220/0376976</t>
  </si>
  <si>
    <t>10005030/010221/0030982</t>
  </si>
  <si>
    <t>SYM3000A-2GX16T-HV</t>
  </si>
  <si>
    <t>SICOM3024P-6S18T-SC40-HV-S</t>
  </si>
  <si>
    <t>10005030/110221/0050604</t>
  </si>
  <si>
    <t>10005030/050321/0090045</t>
  </si>
  <si>
    <t>KOM300A-1M2T-SC05-HV-S</t>
  </si>
  <si>
    <t>SICOM3024P-2S26T-SC40-HV-S</t>
  </si>
  <si>
    <t>ЕАЭС N RU Д-CN.РА01.В.63213/21</t>
  </si>
  <si>
    <t>10005030/290321/0134814</t>
  </si>
  <si>
    <t xml:space="preserve">SM6.6-4GX-1U-S </t>
  </si>
  <si>
    <t>SICOM3216-2M14T-SC05-L5-L5-S</t>
  </si>
  <si>
    <t>10005030/080421/0157115</t>
  </si>
  <si>
    <t>SICOM3000-2GX8T-L2-L2-S</t>
  </si>
  <si>
    <t>SYM3000A-4GX16T-L2-L2</t>
  </si>
  <si>
    <t>SYM3000A-8GE-L2-L2</t>
  </si>
  <si>
    <t>10005030/250421/0189904</t>
  </si>
  <si>
    <t>RubySYM3A-3G-L2-L2</t>
  </si>
  <si>
    <t>SYM3000A-8GX8GE-L2-L2</t>
  </si>
  <si>
    <t>RU0000051996</t>
  </si>
  <si>
    <t>ЕАЭС N RU Д-CN.РА01.В.32748/21</t>
  </si>
  <si>
    <t>10005030/070521/0212924</t>
  </si>
  <si>
    <t>SICOM3024P-24M-ST05-HV-HV-S</t>
  </si>
  <si>
    <t>SICOM3024P-16M-ST05-HV-HV-S</t>
  </si>
  <si>
    <t>Интерфейсный Ethernet модуль SM6.6-4GX-0.5U-S –  4x1000Base-X, 100Base-FX SFP порта специально разработан для коммутаторов серии SICOM3028GPT и имеет в своем составе различные типы интерфейсов в зависимости от модели. Предназначен для подключения к коммутатору других устройств, например, других коммутаторов, посредством кабелей. Модуль SM6.6-4GX-0.5U имеет в своем составе 4x1000Base-X, 100Base-FX SFP порта.
Характеристики
Энергопотребление: 3W
Корпус: Металл, без вентиляторов
Класс защиты: IP40
Габариты (ШxВxГ):
0.5U: 122.6x20.25x106.6мм
Вес: 0.3 кг</t>
  </si>
  <si>
    <t>SM6.6-4GX-1U-S-Интерфейсный Ethernet модуль – 4x1000Base-X SFP порта- специально разработан для серии GKT. Может иметь различные комбинации медных и оптических портов.
Характеристики
Энергопотребление: 3W
Корпус: Металл, без вентиляторов
Класс защиты: IP40
Габариты (ШxВxГ):
1U: 50.8x41.1x109.2мм
0.5U: 122.6x20.25x106.6мм
Вес: 0.3 кг</t>
  </si>
  <si>
    <t>SM6.6-4GE-0.5U-S-Интерфейсный Ethernet модуль  4x10/100/1000Base-T(X) RJ45 порта– специально разработан для коммутаторов серии SICOM3028GPT и имеет в своем составе различные типы интерфейсов в зависимости от модели. Предназначен для подключения к коммутатору других устройств, например, других коммутаторов, посредством кабелей. Модуль SM6.6-4GE-0.5U имеет в своем составе 4 порта 10/100/1000Base-T(X) RJ45
Характеристики
Энергопотребление: 3W
Корпус: Металл, без вентиляторов
Класс защиты: IP40
Габариты (ШxВxГ):
0.5U: 122.6x20.25x106.6мм
Вес: 0.3 кг</t>
  </si>
  <si>
    <t xml:space="preserve">SICOM3028GPT-L3G-MB-HV-HV-S </t>
  </si>
  <si>
    <t>тех описание</t>
  </si>
  <si>
    <t xml:space="preserve">SICOM3024P-24M-ST05-HV-HV-S - промышленные коммутаторы 2 уровня, монтируемые в 19" стойку. Устройства имеют 4 гигабитных порта и 24 порта 100 Мбит/с, которые могут быть как медными так и оптическими.
Коммутаторы крепятся в 19-дюймовую стойку (занимают 1U). Устройства соответствуют IEC61850-3, IEEE1613, EN50155, EN50121-4, NEMA TS-2 для использования в энергетике и на транспорте. Диапазон рабочих температур коммутаторов SICOM3024P-24M-ST05-HV-HV-S от -40° до +85°. 
Характеристики
Порты
Медные или оптические порты 100 Мбит/с 
24
Системная производительность
Стандарты: 
IEEE 802.3i, IEEE 802.3u, IEEE 802.3ab, IEEE 802.3z, IEEE 802.3x, IEEE 802.1p, IEEE 802.1Q, IEEE 802.1s 
Протоколы 
DT-Ring, DT-Ring+, MSTP
IGMP Snooping, GMRP; 
VLAN, PVLAN; 
Telnet, HTTP, HTTPS, SNMPv1/v2/v3, RMON, LLDP, DHCP server; 
SNTP, RTC;
DT-Psec, SSH, SSL, ACL;
FTP, Syslog;
ARP, QoS 
Пропускная способность устройства 
9.5 Mpps 
Питание
Напряжение питания 
Резервированное: 220VAC/DCW (85-264Вольт переменного тока / 77-300Вольт постоянного тока) 
Потребляемая мощность 
менее 30 Вт 
Механические характеристики
Размеры
482.6×44×322.5 мм 
Крепление 
19” стойка 
Класс защиты 
IP40 
Рабочая температура 
от -40 до +85С 
Температура хранения 
-40 до +85C 
Влажность 
от 5 до 95% (без конденсата) 
MTBF 
346889 часов 
Гарантия 
5 лет 
</t>
  </si>
  <si>
    <t xml:space="preserve">SICOM3024P-16M-ST05-HV-HV-S - промышленные коммутаторы 2 уровня, монтируемые в 19" стойку. Устройства имеют 4 гигабитных порта и 24 порта 100 Мбит/с, которые могут быть как медными так и оптическими.
Коммутаторы крепятся в 19-дюймовую стойку (занимают 1U). Устройства соответствуют IEC61850-3, IEEE1613, EN50155, EN50121-4, NEMA TS-2 для использования в энергетике и на транспорте. Диапазон рабочих температур коммутаторов SICOM3024P-16M-ST05-HV-HV-S от -40° до +85°. 
Характеристики
Порты
Медные или оптические порты 100 Мбит/с 
16 
Системная производительность
Стандарты: 
IEEE 802.3i, IEEE 802.3u, IEEE 802.3ab, IEEE 802.3z, IEEE 802.3x, IEEE 802.1p, IEEE 802.1Q, IEEE 802.1s 
Протоколы 
DT-Ring, DT-Ring+, MSTP
IGMP Snooping, GMRP; 
VLAN, PVLAN; 
Telnet, HTTP, HTTPS, SNMPv1/v2/v3, RMON, LLDP, DHCP server; 
SNTP, RTC;
DT-Psec, SSH, SSL, ACL;
FTP, Syslog;
ARP, QoS 
Пропускная способность устройства 
9.5 Mpps 
Питание
Напряжение питания 
Резервированное: 220VAC/DCW (85-264Вольт переменного тока / 77-300Вольт постоянного тока) 
Потребляемая мощность 
менее 30 Вт 
Механические характеристики
Размеры
482.6×44×322.5 мм 
Крепление 
19” стойка 
Класс защиты 
IP40 
Рабочая температура 
от -40 до +85С 
Температура хранения 
-40 до +85C 
Влажность 
от 5 до 95% (без конденсата) 
MTBF 
346889 часов 
Гарантия 
5 лет 
</t>
  </si>
  <si>
    <t>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t>
  </si>
  <si>
    <t xml:space="preserve">RubySYM3A-3G-L2-L2 -УСТРОЙСТВО RUBY3A ОТ КОМПАНИИ KYLAND ПОДДЕРЖИВАЕТ ОДНОВРЕМЕННО ПРОТОКОЛЫ РЕЗЕРВИРОВАНИЯ HIGH AVAILABILITY SEAMLESS REDUNDANCY (HSR) И PARALLEL REDUNDANCY PROTOCOL (PRP). RUBY3ОБЕСПЕЧИВАЕТ БЕСПЕРЕБОЙНУЮ РАБОТУ ПРИ ЛЮБОМ ВОЗМОЖНОМ СБОЕ В СЕТИ. ЭТО ДОСТИГАЕТСЯ ОДНОВРЕМЕННОЙ ДУБЛИРОВАННОЙ ПЕРЕДАЧЕЙ ДАННЫХ ПО НЕЗАВИСИМЫМ МАРШРУТАМ ДЛЯ ОБЕСПЕЧЕНИЯ РЕЗЕРВИРОВАНИЯ НА УРОВНЕ КАНАЛОВ.  
Характеристики
•	Пароли – Многоуровневые пароли для защиты от неавторизованного доступа
•	SSH / SSL – Расширение парольной защиты, добавляющая 128-битное шифрование данных при передаче по сети
•	Защита MAC адресов – Возможность защищать порты так, чтобы доступ был только у устройств с авторизованными MAC адресами
•	RADIUS – Централизованная аутентификация с использованием хэш-функции MD5
•	SNMPv3 – Шифрование аутентификационной информации, передаваемой по сети (CBC-DES с ключом 56 бит)
•	SSL – Веб-управление с использованием шифрования (128 битный ключ)
•	Защита от ЭМИ и скачков напряжений
o	IEC 62439-3 PRP
o	IEEE 1613 (работа на электроподстанциях)
o	IEC 61850-3 (работа на электроподстанциях)
•	Рабочая температура: от –40°C до +85°C
•	Нет движущихся частей
•	Веб, Telnet, CLI
•	SNMP v1/v2/v3 (56-бит шифрование)
•	Удалённый мониторинг (RMON)
•	Широкий набор функций диагностики и протоколирования
•	Поддержка IEC 62439 MIB
•	Потребляемое напряжение: 24-48VDC (18-72Вольт постоянного тока)
•	Клеммная колодка для надёжных и удобных подключений кабелей
•	Размеры(ДхВхШ): 66*135*107.5 мм 
</t>
  </si>
  <si>
    <t>RU0000033120</t>
  </si>
  <si>
    <t>10005030/110621/0279707</t>
  </si>
  <si>
    <t>SYM3000A-8SFP8T-L2-L2</t>
  </si>
  <si>
    <t>ЕАЭС N RU Д-CN.РА01.В.65848/21</t>
  </si>
  <si>
    <t xml:space="preserve">SYM3000A-8SFP8T-L2-L2 - SYM3000A - серия гигабитных управляемых коммутаторов на DIN-рейку, разработанных для систем передачи данных в энергетике, на транспорте, в горнодобывающей промышленности и др. Коммутатор имеет до 12 гигабитных SFP разъемов и до 16 гигабитных RJ45 портов. Прочный корпус без вентилятора с гофрированной поверхностью, способность работать в широком температурном диапазоне позволяет оборудованию стабильно работать в экстремальных промышленных условиях. В данном устройстве реализована поддержка протокола синхронизации точного времени IEEE1588 PTPv2 с точностью синхронизации 100нс.
Характеристики
Порты
10/100Base-TX Ethernet RJ45
8 шт.
Системная производительность
Стандарты: 
IEEE802.3i, IEEE802.3u, IEEE802.3ab, IEEE802.3z, IEEE 802.3ad, IEEE 802.1d, IEEE 802.1w, IEEE802.3x, IEEE802.1p, IEEE802.1Q, IEEE802.1s, IEEE 802.1x, IEEE 802.1ab, IEEE1588 V2 
Протоколы 
DT-Ring, DT-Ring+, DT-VLAN, DRP, MSTP; 
IGMP Snooping, GMRP; 
VLAN, GVRP, PVLAN;
Telnet, HTTP, HTTPS, SNMPv1/v2/v3, RMON, LLDP, SNTP, BootP, DHCP server/relay/client, DHCP Option 82; SSH, SSL, TACACS+, ACL; 
Syslog, FTP, TFTP; 
LACP, ARP, QoS, Modbus TCP 
Пропускная способность устройства 
5.3 Mpps 
Питание
Напряжение питания 
Вход питания 220 Вольт постоянного тока и 220 переменного тока (85-264VAC/77-300VDC)
До 10 Вт
Механические характеристики
Размеры
66×135×107.5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t>
  </si>
  <si>
    <t xml:space="preserve">SYM3000A-4GX16T-L2-L2   - серия гигабитных управляемых коммутаторов SYM3000A на DIN-рейку, разработанных для систем передачи данных в энергетике, на транспорте, в горнодобывающей промышленности и др. Коммутатор имеет до 12 гигабитных SFP разъемов и до 16 гигабитных RJ45 портов. Прочный корпус без вентилятора с гофрированной поверхностью, способность работать в широком температурном диапазоне позволяет оборудованию стабильно работать в экстремальных промышленных условиях. В данном устройстве реализована поддержка протокола синхронизации точного времени IEEE1588 PTPv2 с точностью синхронизации 100нс.
Характеристики
Порты
10/100Base-TX Ethernet RJ45
16 шт.
100/1000Base-X Ethernet SFP
4 шт.
Системная производительность
Стандарты: 
IEEE802.3i, IEEE802.3u, IEEE802.3ab, IEEE802.3z, IEEE 802.3ad, IEEE 802.1d, IEEE 802.1w, IEEE802.3x, IEEE802.1p, IEEE802.1Q, IEEE802.1s, IEEE 802.1x, IEEE 802.1ab, IEEE1588 V2 
Протоколы 
DT-Ring, DT-Ring+, DT-VLAN, DRP, MSTP; 
IGMP Snooping, GMRP; 
VLAN, GVRP, PVLAN;
Telnet, HTTP, HTTPS, SNMPv1/v2/v3, RMON, LLDP, SNTP, BootP, DHCP server/relay/client, DHCP Option 82; SSH, SSL, TACACS+, ACL; 
Syslog, FTP, TFTP; 
LACP, ARP, QoS, Modbus TCP 
Пропускная способность устройства 
5.3 Mpps 
Питание
Напряжение питания 
Двойной вход питания 24 Вольт постоянного тока (18-72VDC)
До 10 Вт
Механические характеристики
Размеры
102х135х137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t>
  </si>
  <si>
    <t xml:space="preserve">SYM3000A - серия гигабитных управляемых коммутаторов на DIN-рейку, разработанных для систем передачи данных в энергетике, на транспорте, в горнодобывающей промышленности и др. Коммутатор имеет до 12 гигабитных SFP разъемов и до 16 гигабитных RJ45 портов. Прочный корпус без вентилятора с гофрированной поверхностью, способность работать в широком температурном диапазоне позволяет оборудованию стабильно работать в экстремальных промышленных условиях. В данном устройстве реализована поддержка протокола синхронизации точного времени IEEE1588 PTPv2 с точностью синхронизации 100нс.
Характеристики
Порты
10/100Base-TX Ethernet RJ45
8 шт.
Системная производительность
Стандарты: 
IEEE802.3i, IEEE802.3u, IEEE802.3ab, IEEE802.3z, IEEE 802.3ad, IEEE 802.1d, IEEE 802.1w, IEEE802.3x, IEEE802.1p, IEEE802.1Q, IEEE802.1s, IEEE 802.1x, IEEE 802.1ab, IEEE1588 V2 
Протоколы 
DT-Ring, DT-Ring+, DT-VLAN, DRP, MSTP; 
IGMP Snooping, GMRP; 
VLAN, GVRP, PVLAN;
Telnet, HTTP, HTTPS, SNMPv1/v2/v3, RMON, LLDP, SNTP, BootP, DHCP server/relay/client, DHCP Option 82; SSH, SSL, TACACS+, ACL; 
Syslog, FTP, TFTP; 
LACP, ARP, QoS, Modbus TCP 
Пропускная способность устройства 
5.3 Mpps 
Питание
Напряжение питания 
Двойной вход питания 24 Вольт постоянного тока (18-72VDC)
До 10 Вт
Механические характеристики
Размеры
66×135×107.5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t>
  </si>
  <si>
    <t xml:space="preserve">SYM3000A-4SFP16T-L2-L2 - серия гигабитных управляемых коммутаторов SYM3000A на DIN-рейку, разработанных для систем передачи данных в энергетике, на транспорте, в горнодобывающей промышленности и др. Коммутатор имеет до 12 гигабитных SFP разъемов и до 16 гигабитных RJ45 портов. Прочный корпус без вентилятора с гофрированной поверхностью, способность работать в широком температурном диапазоне позволяет оборудованию стабильно работать в экстремальных промышленных условиях. В данном устройстве реализована поддержка протокола синхронизации точного времени IEEE1588 PTPv2 с точностью синхронизации 100нс.
Характеристики
Порты
10/100Base-TX Ethernet RJ45
16 шт.
100Base-X Ethernet SFP
4 шт.
Системная производительность
Стандарты: 
IEEE802.3i, IEEE802.3u, IEEE802.3ab, IEEE802.3z, IEEE 802.3ad, IEEE 802.1d, IEEE 802.1w, IEEE802.3x, IEEE802.1p, IEEE802.1Q, IEEE802.1s, IEEE 802.1x, IEEE 802.1ab, IEEE1588 V2 
Протоколы 
DT-Ring, DT-Ring+, DT-VLAN, DRP, MSTP; 
IGMP Snooping, GMRP; 
VLAN, GVRP, PVLAN;
Telnet, HTTP, HTTPS, SNMPv1/v2/v3, RMON, LLDP, SNTP, BootP, DHCP server/relay/client, DHCP Option 82; SSH, SSL, TACACS+, ACL; 
Syslog, FTP, TFTP; 
LACP, ARP, QoS, Modbus TCP 
Пропускная способность устройства 
5.3 Mpps 
Питание
Напряжение питания 
Двойной вход питания 24 Вольт постоянного тока (18-72VDC)
До 10 Вт
Механические характеристики
Размеры
102х135х137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t>
  </si>
  <si>
    <t>SICOM3028GPT-L2F-MB-L3-L3-S</t>
  </si>
  <si>
    <t>RU0000053245</t>
  </si>
  <si>
    <t xml:space="preserve">SICOM3028GPT-L2F-MB-HV-HV-S - промышленные коммутаторы с широким спектром сфер применния и модульным дизайном для простоты масштабирования и расширения функционала устройства. 
Характеристики
Порты
Медные или оптические порты 100 Мбит/с 
до 24 
Медные или оптические гигабитные порты 
до 4 
Системная производительность
Стандарты: 
IEEE802.3i, IEEE802.3u, IEEE802.3ab, IEEE802.3ac, IEEE802.3ad, IEEE802.3z, IEEE802.3x, IEEE802.1p, IEEE802.1Q, IEEE802.1s, IEEE802.1X, IEC62439-6, 
IEC 61850-8-1 GOOSE сообщения 
Протоколы 
DT-Ring, DT-Ring+, MSTP, DRP; IGMP Snooping, GMRP;
VLAN, GVRP, PVLAN;
Telnet, HTTP, HTTPS, SNMPv1/v2/v3, RMON, LLDP, Bootp, DHCP server/relay/client, DHCP Option 82;
SNTP, PTP, RTC;
SSH, SSL, TACACS+, RADIUS, ACL; 
ARP, Modbus TCP, QoS, LACP
PRP, HSR 
Пропускная способность устройства 
9.5 Mpps 
Параметры оптических портов
Длина волны 
1310нм (одномод), 1550нм (одномод), 1310 (многомод) 
Расстояние передачи 
10~80км (одномод) , до 5 км (100M многомод) , до 2 км (1000M многомод) 
Тип коннектора 
SC, ST, FC 
Питание
Напряжение питания 
Резервированное: 220VAC/VDC (77-300VDC/85-264VAC) 
Потребляемая мощность 
менее 28 Вт (при установке только медных модулей)
менее 42 Вт (при установке только оптических модулей) 
Механические характеристики
Размеры
482.6мм x 44мм x 360мм
Крепление 
19” стойка 
Класс защиты 
IP40 
Рабочая температура 
от -40 до +85С 
Температура хранения 
-40 до +85C 
Влажность 
от 5 до 95% (без конденсата) 
MTBF 
359000 часов 
Гарантия 
5 лет </t>
  </si>
  <si>
    <t xml:space="preserve">SICOM3028GPT-L2F-MB-L3-L3-S - промышленные коммутаторы с широким спектром сфер применния и модульным дизайном для простоты масштабирования и расширения функционала устройства. 
Характеристики
Порты
Медные или оптические порты 100 Мбит/с 
до 24 
Медные или оптические гигабитные порты 
до 4 
Системная производительность
Стандарты: 
IEEE802.3i, IEEE802.3u, IEEE802.3ab, IEEE802.3ac, IEEE802.3ad, IEEE802.3z, IEEE802.3x, IEEE802.1p, IEEE802.1Q, IEEE802.1s, IEEE802.1X, IEC62439-6, 
IEC 61850-8-1 GOOSE сообщения 
Протоколы 
DT-Ring, DT-Ring+, MSTP, DRP; IGMP Snooping, GMRP;
VLAN, GVRP, PVLAN;
Telnet, HTTP, HTTPS, SNMPv1/v2/v3, RMON, LLDP, Bootp, DHCP server/relay/client, DHCP Option 82;
SNTP, PTP, RTC;
SSH, SSL, TACACS+, RADIUS, ACL;
ARP, Modbus TCP, QoS, LACP
PRP, HSR 
Пропускная способность устройства 
9.5 Mpps 
Параметры оптических портов
Длина волны 
1310нм (одномод), 1550нм (одномод), 1310 (многомод) 
Расстояние передачи 
10~80км (одномод) , до 5 км (100M многомод) , до 2 км (1000M многомод) 
Тип коннектора 
SC, ST, FC 
Питание
Напряжение питания 
Резервированное: от 18 до36 Вольт постоянного тока
Потребляемая мощность 
До 48 Ватт
Механические характеристики
Размеры
482.6мм x 44мм x 360мм
Крепление 
19” стойка 
Класс защиты 
IP40 
Рабочая температура 
от -40 до +85С 
Температура хранения 
-40 до +85C 
Влажность 
от 5 до 95% (без конденсата) 
MTBF 
359000 часов 
Гарантия 
5 лет 
</t>
  </si>
  <si>
    <t>10005030/250721/0364686</t>
  </si>
  <si>
    <t xml:space="preserve">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Характеристики
Порты
Оптические или медные порты 100 Мбит/с 
до 24 
Оптические или медные гигабитные порты 
до 28 (SICOM3028GPT-L3G) 
до 4 (SICOM3028GPT-L3G) 
Системная производительность
Стандарты: 
IEEE 802.3i, IEEE 802.3u, IEEE 802.3ab, IEEE802.3ac, IEEE 802.3ad, IEEE 802.3z, IEEE 802.3x, IEEE 802.1p, IEEE 802.1Q, IEEE 802.1s, IEEE802.1X, IEC62439-6,
IEC 61850-8-1 GOOSE сообщения 
Протоколы 
DT-Ring, DT-Ring+, MSTP, DRP, VRRP; IGMP, IGMP Snooping, GMRP, PIM-SM, PIM-DM, DVMRP; 
RIPv1/v2, OSPFv2, BGPv4;
VLAN, GVRP, PVLAN; 
Telnet, SNMPv1/v2/v3, RMON, LLDP, BootP, DHCP Option 82, DHCP server/relay/client; 
SNTP, RTC;
SSH, SSL, TACACS+, RADIUS, ACL; 
ARP, Modbus TCP, QoS, LACP
PRP, HSR 
Пропускная способность устройства 
41.7 Mpps (SICOM3028GPT-L3G), 
9.5 Mpps (SICOM3028GPT-L3G) 
Питание
Напряжение питания: 220VAC/DC (85-264VAC/77-370VDC) 
Механические характеристики
Размеры
482.6 x 44 x 360 мм
Крепление 
19” стойка 
Класс защиты 
IP40 
Рабочая температура 
от -40 до +85С 
Температура хранения 
-40 до +85C 
Влажность 
от 5 до 95% (без конденсата) 
MTBF 
368000 часов 
Гарантия 
5 лет </t>
  </si>
  <si>
    <t>10005030/180821/0414091</t>
  </si>
  <si>
    <t>SYM3000S-4GX8P-L16-L16</t>
  </si>
  <si>
    <t>SYM3000A-4SFP8T-L2-L2</t>
  </si>
  <si>
    <t>ЕАЭС N RU Д-CN.РА01.В.54040/21</t>
  </si>
  <si>
    <t>SYM3000S - промышленные коммутаторы с пониженным потреблением питания, которые могут применяться в ветроэнергетике, распределительных сетях, подстанциях, энергетических SCADA-системах, системах водоочистки, на автомагистралях, в металлургии и других сферах.
Коммутаторы могут крепиться на DIN-рейку или панель. Устройства соответствуют IEC61850-3, IEEE1613, EN50155, EN50121-4, NEMA TS-2. Диапазон рабочих температур коммутаторов SYM3000S от -40° до +85°. Оптические порты коммутатора способны передавать данные на расстояния до 80 км.
В SFP-порты коммутатора можно установить специальные модули, которые могут поддерживать как оптические соединения (одномод или многомод), так и медные.
Характеристики
Порты
10/100Base-TX RJ45
8
1000Base-X SFP
4
Системная производительность
Стандарты:
IEEE 802.3u, IEEE 802.3ab, IEEE 802.3ad, IEEE 802.3z,IEEE 802.3x, IEEE 802.1D, IEEE 802.1Q, IEEE 802.1w, IEEE 802.1s, IEEE 802.1X, IEEE 802.1AB, IEEE 802.1p, IEEE 802.3i, IEEE 802.1ab, IEEE 802.3af PoE, IEEE 802.3at PoE+, IEEE1588 V2 (PTP)
Протоколы
DT-Ring, DT-Ring+, DT-VLAN, MSTP; 
IGMP Snooping, GMRP;
VLAN, PVLAN; 
Telnet, HTTP, HTTPS, SNMPv1/v2/v3, RMON, LLDP, SNTP, DHCP server; 
DT-Psec, SSH, SSL, ACL;
ARP, QoS
Пропускная способность устройства
4.2 Mpps
Питание
Напряжение питания
51-57 Вольт постоянного тока
Потребляемая мощность
менее 16 Вт
Механические характеристики
Размеры
75 * 168.2 *135.5 мм
Крепление
DIN-рейка или панель
Класс защиты
IP40
Рабочая температура
от -40 до +85С
Температура хранения
-40 до +85C
Влажность
от 5 до 95% (без конденсата)
MTBF
323350 часов
Гарантия
5 лет</t>
  </si>
  <si>
    <t xml:space="preserve">SYM3000A - серия гигабитных управляемых коммутаторов на DIN-рейку, разработанных для систем передачи данных в энергетике, на транспорте, в горнодобывающей промышленности и др. Коммутатор имеет до 12 гигабитных SFP разъемов и до 16 гигабитных RJ45 портов. Прочный корпус без вентилятора с гофрированной поверхностью, способность работать в широком температурном диапазоне позволяет оборудованию стабильно работать в экстремальных промышленных условиях. В данном устройстве реализована поддержка протокола синхронизации точного времени IEEE1588 PTPv2 с точностью синхронизации 100нс.
Характеристики
Порты
10/100Base-TX Ethernet RJ45
8 шт.
100Base-X Ethernet SFP
4 шт.
Системная производительность
Стандарты: 
IEEE802.3i, IEEE802.3u, IEEE802.3ab, IEEE802.3z, IEEE 802.3ad, IEEE 802.1d, IEEE 802.1w, IEEE802.3x, IEEE802.1p, IEEE802.1Q, IEEE802.1s, IEEE 802.1x, IEEE 802.1ab, IEEE1588 V2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Двойной вход питания 24 Вольт постоянного тока (18-72VDC)
До 10 Вт
Механические характеристики
Размеры
66*135*107.5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t>
  </si>
  <si>
    <t xml:space="preserve">Описание
SYM3000A - серия гигабитных управляемых коммутаторов на DIN-рейку, разработанных для систем передачи данных в энергетике, на транспорте, в горнодобывающей промышленности и др. Коммутатор имеет до 12 гигабитных SFP разъемов и до 16 гигабитных RJ45 портов. Прочный корпус без вентилятора с гофрированной поверхностью, способность работать в широком температурном диапазоне позволяет оборудованию стабильно работать в экстремальных промышленных условиях. В данном устройстве реализована поддержка протокола синхронизации точного времени IEEE1588 PTPv2 с точностью синхронизации 100нс.
Характеристики
Порты
10/100/1000Base-TX Ethernet RJ45
8 шт.
100/1000Base-X Ethernet SFP
8 шт.
Системная производительность
Стандарты: 
IEEE802.3i, IEEE802.3u, IEEE802.3ab, IEEE802.3z, IEEE 802.3ad, IEEE 802.1d, IEEE 802.1w, IEEE802.3x, IEEE802.1p, IEEE802.1Q, IEEE802.1s, IEEE 802.1x, IEEE 802.1ab, IEEE1588 V2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Двойной вход питания 24 Вольт постоянного тока (18-72VDC)
До 10 Вт
Механические характеристики
Размеры
102х135х137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t>
  </si>
  <si>
    <t>10005030/210821/0419377</t>
  </si>
  <si>
    <t>10005030/230721/0361052</t>
  </si>
  <si>
    <t>SYM6416G-4X8GX4GE-L3-L3</t>
  </si>
  <si>
    <t xml:space="preserve">SYM6416G – серия десяти-гигабитных управляемых коммутаторов на DIN-рейку, разработанных для систем передачи данных в энергетике, на транспорте, в горнодобывающей промышленности и др. Коммутатор имеет SFP порты 10Г . Прочный корпус без вентилятора с гофрированной поверхностью, способность работать в широком температурном диапазоне позволяет оборудованию стабильно работать в экстремальных промышленных условиях. В данном устройстве реализована поддержка протокола синхронизации точного времени IEEE1588 PTPv2 с точностью синхронизации 100нс. Коммутаторы могут крепиться на DIN-рейку или панель. Диапазон рабочих температур коммутаторов SYM6416G от -40° до +75°.
Характеристики
Порты
10G Base-X SFP	4
10/100/1000Base-TX	4
 100/1000Base-X SFP	8
Системная производительность
Стандарты	IEEE802.3i IEEE802.3u IEEE802.3ab IEEE802.3z IEEE 802.3ae IEEE 802.3ad IEEE802.3x IEEE802.1p IEEE802.1q IEEE 802.1w IEEE802.1s IEEE 802.1x IEEE1588
Функции 2 уровня	STP/RSTP
Поддержка до 4094 VLAN
VLAN на базе портов и 802.1Q
VLAN на основе MAC-адресов
управление VLAN, Private VLAN
динамическое назначение VLAN с использованием RADIUS- сервера
Поддержка QoS очередей на порт 8
DHCP
IGMP для фильтрации трафика групповой рассылки (до 4К групп)
Блокирование «Head-of-Line» (HOL)
Функции 3 уровня	Маршрутизация IPv4
Статическая маршрутизация
RIP v2 для динамической маршрутизации
Поддержка VRRPv2/v3
Private VLAN (PVLAN)
Управление маршрутизацией на основе ACL IPv4 или IPv6
 Протоклоы резервирования	IEEE 802.1d Spanning Tree Protocol (STP)
IEEE 802.1w Rapid Spanning Tree Protocol (RSTP)
Питание
Напряжение питания	18-36 Вольт постоянного тока
Потребляемая мощность	До 35 Ватт
Механические характеристики
Класс защиты	IP40
Крепление	DIN-рейка или панель
Размеры (Ш х Г х В)	120мм×154мм×154мм
 Рабочая температура	от -40 до +75С
Температура хранения	-40 до +85C
Влажность	от 5 до 95% (без конденсата)
MTBF	223350 часов
Гарантия	5 лет </t>
  </si>
  <si>
    <t>RU0000053827</t>
  </si>
  <si>
    <t>ЕАЭС N RU Д-CN.РА01.В.95186/21</t>
  </si>
  <si>
    <t>10005030/011121/0566790</t>
  </si>
  <si>
    <t>10005030/191021/0536483</t>
  </si>
  <si>
    <t>01402</t>
  </si>
  <si>
    <t>SYM3000A-4GX8T-L2-L2</t>
  </si>
  <si>
    <t xml:space="preserve">SYM3000A - серия гигабитных управляемых коммутаторов на DIN-рейку, разработанных для систем передачи данных в энергетике, на транспорте, в горнодобывающей промышленности и др. Коммутатор имеет до 12 гигабитных SFP разъемов и до 16 гигабитных RJ45 портов. Прочный корпус без вентилятора с гофрированной поверхностью, способность работать в широком температурном диапазоне позволяет оборудованию стабильно работать в экстремальных промышленных условиях. В данном устройстве реализована поддержка протокола синхронизации точного времени IEEE1588 PTPv2 с точностью синхронизации 100нс.
Характеристики
Порты
10/100Base-TX Ethernet RJ45
8 шт.
100/1000Base-X Ethernet SFP
4 шт.
Системная производительность
Стандарты: 
IEEE802.3i, IEEE802.3u, IEEE802.3ab, IEEE802.3z, IEEE 802.3ad, IEEE 802.1d, IEEE 802.1w, IEEE802.3x, IEEE802.1p, IEEE802.1Q, IEEE802.1s, IEEE 802.1x, IEEE 802.1ab, IEEE1588 V2 
Протоколы 
DT-Ring, DT-Ring+, DT-VLAN, DRP, MSTP; 
IGMP Snooping, GMRP; 
VLAN, GVRP, PVLAN;
Telnet, HTTP, HTTPS, SNMPv1/v2/v3, RMON, LLDP, SNTP, BootP, DHCP server/relay/client, DHCP Option 82; SSH, SSL, TACACS+, ACL; 
Syslog, FTP, TFTP; 
LACP, ARP, QoS, Modbus TCP 
Пропускная способность устройства 
5.3 Mpps 
Питание
Напряжение питания 
Двойной вход питания 24 Вольт постоянного тока (18-72VDC)
До 10 Вт
Механические характеристики
Размеры
66×135×107.5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t>
  </si>
  <si>
    <t>10005030/291121/3003473</t>
  </si>
  <si>
    <t>13.12.2021 Платная</t>
  </si>
  <si>
    <t>13.12.2021 Бесплатная</t>
  </si>
  <si>
    <t xml:space="preserve">SYM3000A - серия гигабитных управляемых коммутаторов на DIN-рейку, разработанных для систем передачи данных в энергетике, на транспорте, в горнодобывающей промышленности и др. Коммутатор имеет до 12 гигабитных SFP разъемов и до 16 гигабитных RJ45 портов. Прочный корпус без вентилятора с гофрированной поверхностью, способность работать в широком температурном диапазоне позволяет оборудованию стабильно работать в экстремальных промышленных условиях. В данном устройстве реализована поддержка протокола синхронизации точного времени IEEE1588 PTPv2 с точностью синхронизации 100нс.
Характеристики
Порты
10/100Base-TX Ethernet RJ45
8 шт.
100Base-X Ethernet SFP
2 шт.
Системная производительность
Стандарты: 
IEEE802.3i, IEEE802.3u, IEEE802.3ab, IEEE802.3z, IEEE 802.3ad, IEEE 802.1d, IEEE 802.1w, IEEE802.3x, IEEE802.1p, IEEE802.1Q, IEEE802.1s, IEEE 802.1x, IEEE 802.1ab, IEEE1588 V2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Двойной вход питания 24 Вольт постоянного тока (18-72VDC)
До 10 Вт
Механические характеристики
Размеры
66×135×107.5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t>
  </si>
  <si>
    <t>10005030/211221/3057073</t>
  </si>
  <si>
    <t>10005030/211221/3057503</t>
  </si>
  <si>
    <t xml:space="preserve">SYM3000A-8T-L2-L2 </t>
  </si>
  <si>
    <t xml:space="preserve">SICOM3028GPT-L2F-MB-HV-HV-S </t>
  </si>
  <si>
    <t xml:space="preserve">SICOM3028GPT-L2GT-MB-HV-HV-S </t>
  </si>
  <si>
    <t>SICOM3028GPT-L2F-MB-L3-L3-S - промышленные коммутаторы с широким спектром сфер применния и модульным дизайном для простоты масштабирования и расширения функционала устройства. 
Характеристики
Порты
Медные или оптические порты 100 Мбит/с 
до 24 
Медные или оптические гигабитные порты 
до 4 
Системная производительность
Стандарты: 
IEEE802.3i, IEEE802.3u, IEEE802.3ab, IEEE802.3ac, IEEE802.3ad, IEEE802.3z, IEEE802.3x, IEEE802.1p, IEEE802.1Q, IEEE802.1s, IEEE802.1X, IEC62439-6, 
IEC 61850-8-1 GOOSE сообщения 
Протоколы 
DT-Ring, DT-Ring+, MSTP, DRP; IGMP Snooping, GMRP;
VLAN, GVRP, PVLAN;
Telnet, HTTP, HTTPS, SNMPv1/v2/v3, RMON, LLDP, Bootp, DHCP server/relay/client, DHCP Option 82;
SNTP, PTP, RTC;
SSH, SSL, TACACS+, RADIUS, ACL; Syslog;
ARP, Modbus TCP, QoS, LACP
PRP, HSR 
Пропускная способность устройства 
9.5 Mpps 
Пар-ры оптических портов 
Тип коннектора 
SC, ST, FC 
Питание
Напряжение питания 
Резервированное: от 18 до36 Вольт постоянного тока
Потребляемая мощность 
До 48 Ватт
Механические характеристики
Размеры
482.6мм x 44мм x 360мм
Крепление 
19” стойка 
Класс защиты 
IP40 
Рабочая температура 
от -40 до +85С 
Температура хранения 
-40 до +85C 
Влажность 
от 5 до 95% (без конденсата) 
MTBF 
359000 часов 
Гарантия 
5 лет</t>
  </si>
  <si>
    <t>подана с Виаджи</t>
  </si>
  <si>
    <t>SYM3000A-LITE-1M4T-SC05-L3-L3</t>
  </si>
  <si>
    <t>RU0000055090</t>
  </si>
  <si>
    <t>ЕАЭС N RU Д-CN.РА03.В.59715/21</t>
  </si>
  <si>
    <t>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t>
  </si>
  <si>
    <t xml:space="preserve">SYM3000A-LITE-1M4T-SC05-L3-L3 - промышленные коммутаторы с пониженным потреблением питания, которые могут применяться в ветроэнергетике, распределительных сетях, подстанциях, энергетических SCADA-системах, системах водоочистки, на автомагистралях, в металлургии и других сферах.
Характеристики
Порты
10/100Base-TX 
Д4
100Base-FX (многомод 1310нанометров, SC) 
1
Системная производительность
Стандарты: 
IEEE 802.3i, IEEE 802.3u, IEEE 802.3ac, IEEE802.3ad, IEEE 802.3z, IEEE 802.3x, IEEE 802.1p, IEEE 802.1Q, IEEE 802.1s, IEEE 802.1X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Двойной вход питания 24 Вольт постоянного тока (18-72VDC)
До 7 Вт
Механические характеристики
Размеры
53.6 x 135 x 106.5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t>
  </si>
  <si>
    <t>10005030/170522/3151169</t>
  </si>
  <si>
    <t>10005030/180522/3151268</t>
  </si>
  <si>
    <t>SYM6000A-4GX8GE-L2-L2</t>
  </si>
  <si>
    <t>SYM6000A-4GX8GE-L2-L2 - промышленные коммутаторы с пониженным потреблением питания, которые могут применяться в ветроэнергетике, распределительных сетях, подстанциях, энергетических SCADA-системах, системах водоочистки, на автомагистралях, в металлургии и других сферах.
Коммутаторы могут крепиться на DIN-рейку или панель. Устройства соответствуют IEC61850-3. Диапазон рабочих температур коммутаторов SYM6000A-4GX8GE-L2-L2 от -40° до +85°. Оптические порты коммутатора способны передавать данные на расстояния до 80 км.
В SFP-порты коммутатора можно установить специальные модули, которые могут поддерживать как оптические соединения (одномод или многомод), так и медные.
Характеристики
Порты
Гигабитные SFP
4
10/100/1000Base-TX
8
Системная производительность
Стандарты:
IEEE 802.3i, IEEE 802.3u, IEEE 802.3ab, IEEE 802.3z, IEEE 802.3x, IEEE 802.1p, IEEE 802.1Q, IEEE 802.1s
Протоколы
DT-Ring, DT-Ring+, DT-VLAN, MSTP; 
IGMP Snooping, GMRP;
VLAN, PVLAN; 
Telnet, HTTP, HTTPS, SNMPv1/v2/v3, RMON, LLDP, SNTP, DHCP server; 
DT-Psec, SSH, SSL, ACL;
ARP, QoS
Пропускная способность устройства
52 Гбит/с
Питание
Напряжение питания
24VDC (18-36Вольт постоянного тока)
Потребляемая мощность
менее 18 Вт
Механические характеристики
Размеры
88 х 135 х 137 мм
Крепление
DIN-рейка или панель
Класс защиты
IP40
Рабочая температура
от -40 до +85С
Температура хранения
-40 до +85C
Влажность
от 5 до 95% (без конденсата)
MTBF
323350 часов
Гарантия
5 лет</t>
  </si>
  <si>
    <t>10005030/220522/3154080</t>
  </si>
  <si>
    <t>SICOM3028GPT-L3GT-MB-HV-HV-S</t>
  </si>
  <si>
    <t>SYM3000A-8GE-HV</t>
  </si>
  <si>
    <t>SYM3000A-LITE-2S6T-SC40-L3-L3</t>
  </si>
  <si>
    <t>SYM3000A-2GX8GE-HV</t>
  </si>
  <si>
    <t>01403</t>
  </si>
  <si>
    <t xml:space="preserve">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Характеристики
Порты
Оптические или медные порты 100 Мбит/с 
до 24 
Оптические или медные гигабитные порты 
до 4
Системная производительность
Стандарты: 
IEEE 802.3i, IEEE 802.3u, IEEE 802.3ab, IEEE802.3ac, IEEE 802.3ad, IEEE 802.3z, IEEE 802.3x, IEEE 802.1p, IEEE 802.1Q, IEEE 802.1s, IEEE802.1X, IEC62439-6,
IEC 61850-8-1 GOOSE сообщения 
Протоколы 
DT-Ring, DT-Ring+, MSTP, DRP, VRRP; IGMP, IGMP Snooping, GMRP, PIM-SM, PIM-DM, DVMRP; 
RIPv1/v2, OSPFv2, BGPv4;
VLAN, GVRP, PVLAN; 
Telnet, HTTP, HTTPS, SNMPv1/v2/v3, RMON, LLDP, BootP, DHCP Option 82, DHCP server/relay/client; 
SNTP, RTC;
SSH, SSL, TACACS+, RADIUS, ACL; 
ARP, Modbus TCP, QoS, LACP
PRP, HSR 
Пропускная способность устройства 
9.5 Mpps 
Питание
Напряжение питания: 2x 85-264Вольт переменного тока или 77-370Вольт постоянного тока 
Механические характеристики
Размеры
482.6 x 44 x 360 мм
Крепление 
19” стойка 
Класс защиты 
IP40 
Рабочая температура 
от -40 до +85С 
Температура хранения 
-40 до +85C 
Влажность 
от 5 до 95% (без конденсата) 
MTBF 
368000 часов 
Гарантия 
5 лет </t>
  </si>
  <si>
    <t xml:space="preserve">SYM3000A - серия гигабитных управляемых коммутаторов на DIN-рейку, разработанных для систем передачи данных в энергетике, на транспорте, в горнодобывающей промышленности и др. Коммутатор имеет до 12 гигабитных SFP разъемов и до 16 гигабитных RJ45 портов. Прочный корпус без вентилятора с гофрированной поверхностью, способность работать в широком температурном диапазоне позволяет оборудованию стабильно работать в экстремальных промышленных условиях. В данном устройстве реализована поддержка протокола синхронизации точного времени IEEE1588 PTPv2 с точностью синхронизации 100нс.
Характеристики
Порты
10/100/1000Base-TX Ethernet RJ45
8 шт.
Системная производительность
Стандарты: 
IEEE802.3i, IEEE802.3u, IEEE802.3ab, IEEE802.3z, IEEE 802.3ad, IEEE 802.1d, IEEE 802.1w, IEEE802.3x, IEEE802.1p, IEEE802.1Q, IEEE802.1s, IEEE 802.1x, IEEE 802.1ab, IEEE1588 V2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Вход питания 220 Вольт постоянного тока и 220 переменного тока (85-264VAC/77-300VDC)
До 10 Вт
Механические характеристики
Размеры
88х135х137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t>
  </si>
  <si>
    <t xml:space="preserve">SYM3000A-LITE-2S6T-SC40-L3-L3 - промышленные коммутаторы с пониженным потреблением питания, которые могут применяться в ветроэнергетике, распределительных сетях, подстанциях, энергетических SCADA-системах, системах водоочистки, на автомагистралях, в металлургии и других сферах.
Характеристики
Порты
10/100Base-TX 
6 
100Base-FX (одномод, 1310, SC) 
2 
Системная производительность
Стандарты: 
IEEE 802.3i, IEEE 802.3u, IEEE 802.3ac, IEEE802.3ad, IEEE 802.3z, IEEE 802.3x, IEEE 802.1p, IEEE 802.1Q, IEEE 802.1s, IEEE 802.1X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Двойной вход питания 24 Вольт постоянного тока 
До 7 Вт
Механические характеристики
Размеры
53.6 x 135 x 106.5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t>
  </si>
  <si>
    <t xml:space="preserve">RU0000049917
</t>
  </si>
  <si>
    <t xml:space="preserve">SYM3000A - серия гигабитных управляемых коммутаторов на DIN-рейку, разработанных для систем передачи данных в энергетике, на транспорте, в горнодобывающей промышленности и др. Коммутатор имеет до 12 гигабитных SFP разъемов и до 16 гигабитных RJ45 портов. Прочный корпус без вентилятора с гофрированной поверхностью, способность работать в широком температурном диапазоне позволяет оборудованию стабильно работать в экстремальных промышленных условиях. В данном устройстве реализована поддержка протокола синхронизации точного времени IEEE1588 PTPv2 с точностью синхронизации 100нс.
Характеристики
Порты
10/100/1000Base-TX Ethernet RJ45
8 шт.
100/1000Base-X Ethernet SFP
2 шт.
Системная производительность
Стандарты: 
IEEE802.3i, IEEE802.3u, IEEE802.3ab, IEEE802.3z, IEEE 802.3ad, IEEE 802.1d, IEEE 802.1w, IEEE802.3x, IEEE802.1p, IEEE802.1Q, IEEE802.1s, IEEE 802.1x, IEEE 802.1ab, IEEE1588 V2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Вход питания 220 Вольт постоянного тока и 220 переменного тока (85-264VAC/77-300VDC)
До 10 Вт
Механические характеристики
Размеры
66×135×107.5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t>
  </si>
  <si>
    <t>10005030/150622/3169598</t>
  </si>
  <si>
    <t>SYM3000A-LITE-8T-L3-L3</t>
  </si>
  <si>
    <t xml:space="preserve">SYM3000A-LITE-8T-L3-L3 - промышленные коммутаторы с пониженным потреблением питания, которые могут применяться в ветроэнергетике, распределительных сетях, подстанциях, энергетических SCADA-системах, системах водоочистки, на автомагистралях, в металлургии и других сферах.
Характеристики
Порты
10/100Base-TX 
8
Системная производительность
Стандарты: 
IEEE 802.3i, IEEE 802.3u, IEEE 802.3ac, IEEE802.3ad, IEEE 802.3z, IEEE 802.3x, IEEE 802.1p, IEEE 802.1Q, IEEE 802.1s, IEEE 802.1X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Двойной вход питания 24 Вольт постоянного тока 
До 7 Вт
Механические характеристики
Размеры
53.6 x 135 x 106.5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t>
  </si>
  <si>
    <t>10005030/040722/3183346</t>
  </si>
  <si>
    <t>RU0000053828</t>
  </si>
  <si>
    <t xml:space="preserve">Интерфейсный Ethernet модуль – специально разработан для коммутаторов серии SICOM3028GPT и имеет в своем составе различные типы интерфейсов в зависимости от модели. Предназначен для подключения к коммутатору других устройств, например, других коммутаторов, посредством кабелей. Модуль SM6.6-4M-SC05-0.5U-S имеет в своем составе 4x100Base-FX оптических порта, многомод., коннектор SC, 5км. 
Характеристики
Энергопотребление: 3W
Корпус: Металл, без вентиляторов
Класс защиты: IP40
Габариты (ШxВxГ):
0.5U: 122.6x20.25x106.6мм
Вес: 0.3 кг
</t>
  </si>
  <si>
    <t xml:space="preserve">Компания декларант </t>
  </si>
  <si>
    <t xml:space="preserve">Симанитрон-Электроника </t>
  </si>
  <si>
    <t>Симанитрон</t>
  </si>
  <si>
    <t>10005030/140822/3217744</t>
  </si>
  <si>
    <t>10005030/250722/3200135</t>
  </si>
  <si>
    <t>SYM3000A-8T-L5-L5</t>
  </si>
  <si>
    <t>SYM3000A-4GX16T-L5-L5</t>
  </si>
  <si>
    <t>SYM3000A-4GX8T-L5-L5</t>
  </si>
  <si>
    <t>KOM300A-1S2T-SC40-L2-L2-S</t>
  </si>
  <si>
    <t>SICOM3028GPT-L2G-MB-HV-HV-S</t>
  </si>
  <si>
    <t>SICOM3024P-2M26T-SC05-HV-HV-S</t>
  </si>
  <si>
    <t>ЕАЭС N RU Д-CN.РА01.В.65864/21</t>
  </si>
  <si>
    <t>RU0000055089</t>
  </si>
  <si>
    <t>RU0000053825</t>
  </si>
  <si>
    <t xml:space="preserve">SYM3000A - серия гигабитных управляемых коммутаторов на DIN-рейку, разработанных для систем передачи данных в энергетике, на транспорте, в горнодобывающей промышленности и др. Коммутатор имеет до 12 гигабитных SFP разъемов и до 16 гигабитных RJ45 портов. Прочный корпус без вентилятора с гофрированной поверхностью, способность работать в широком температурном диапазоне позволяет оборудованию стабильно работать в экстремальных промышленных условиях. В данном устройстве реализована поддержка протокола синхронизации точного времени IEEE1588 PTPv2 с точностью синхронизации 100нс.
Характеристики
Порты
10/100Base-TX Ethernet RJ45
8 шт.
Системная производительность
Стандарты: 
IEEE802.3i, IEEE802.3u, IEEE802.3ab, IEEE802.3z, IEEE 802.3ad, IEEE 802.1d, IEEE 802.1w, IEEE802.3x, IEEE802.1p, IEEE802.1Q, IEEE802.1s, IEEE 802.1x, IEEE 802.1ab, IEEE1588 V2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Двойной вход питания 12 Вольт постоянного тока (9-36VDC)
До 10 Вт
Механические характеристики
Размеры
66×135×107.5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t>
  </si>
  <si>
    <t xml:space="preserve">SICOM3024P-2M26T-SC05-HV-HV-S - промышленные коммутаторы 2 уровня, монтируемые в 19" стойку. Устройства имеют 4 гигабитных порта и 24 порта 100 Мбит/с, которые могут быть как медными так и оптическими.
Коммутаторы крепятся в 19-дюймовую стойку (занимают 1U). Устройства соответствуют IEC61850-3, IEEE1613, EN50155, EN50121-4, NEMA TS-2 для использования в энергетике и на транспорте. Диапазон рабочих температур коммутаторов SICOM3024P-2M26T-SC05-HV-HV-S от -40° до +85°. 
Характеристики
Порты
Медные или оптические порты 100 Мбит/с 
26
Оптические порты 100Base-X (мультимод, 5 км., длина волны 1310 нм)
2
Системная производительность
Стандарты: 
IEEE 802.3i, IEEE 802.3u, IEEE 802.3ab, IEEE 802.3z, IEEE 802.3x, IEEE 802.1p, IEEE 802.1Q, IEEE 802.1s 
Протоколы 
DT-Ring, DT-Ring+, MSTP
IGMP Snooping, GMRP; 
VLAN, PVLAN; 
Telnet, HTTP, HTTPS, SNMPv1/v2/v3, RMON, LLDP, DHCP server; 
SNTP, RTC;
DT-Psec, SSH, SSL, ACL;
ARP, QoS 
Пропускная способность устройства 
9.5 Mpps 
Питание
Напряжение питания 
 От 85 до264Вольт переменного тока или от 77 до 300Вольт постоянного тока 
Потребляемая мощность 
менее 30 Вт 
Механические характеристики
Размеры
482.6×44×322.5 мм 
Крепление 
19” стойка 
Класс защиты 
IP40 
Рабочая температура 
от -40 до +85С 
Температура хранения 
-40 до +85C 
Влажность 
от 5 до 95% (без конденсата) 
MTBF 
346889 часов 
Гарантия 
5 лет </t>
  </si>
  <si>
    <t xml:space="preserve">SICOM3028GPT-L2G-MB-HV-HV-S - промышленные коммутаторы с широким спектром сфер применния и модульным дизайном для простоты масштабирования и расширения функционала устройства. Модели SICOM3028GPT-L2G могут иметь до 28 гигабитных портов. При этом возможна практически любая комбинация медных и оптических портов. 
Характеристики
Порты
Медные или оптические порты 100 Мбит/с 
до 24 
10/100/1000Base-TX 
до 24 
Комбо порты (10/100/1000Base-TX или гигабитные SFP) 
до 4 
Системная производительность
Стандарты: 
IEEE802.3i, IEEE802.3u, IEEE802.3ab, IEEE802.3ac, IEEE802.3ad, IEEE802.3z, IEEE802.3x, IEEE802.1p, IEEE802.1Q, IEEE802.1s, IEEE802.1X, IEC62439-6 
Протоколы 
DT-Ring, DT-Ring+, MSTP, DRP; IGMP Snooping, GMRP;
VLAN, GVRP, PVLAN;
Telnet, HTTP, HTTPS, SNMPv1/v2/v3, RMON, LLDP, Bootp, DHCP server/relay/client, DHCP Option 82;
SNTP, PTP, RTC;
SSH, SSL, TACACS+, RADIUS, ACL; FTP, TFTP, Syslog;
ARP, Modbus TCP, QoS, LACP 
Пропускная способность устройства 
41.7 Mpps (SICOM3028GPT-L2G), 9.5 Mpps (SICOM3028GPT-L2G) 
Параметры оптических портов
Длина волны 
1310нм (одномод), 1550нм (одномод), 1310 (многомод) 
Расстояние передачи 
10~80км (одномод) , до 5 км (100M многомод) , до 2 км (1000M многомод) 
Тип коннектора 
SC, ST, FC 
Питание
Напряжение питания 
От 77 до 300 Вольт постоянного тока или от 85 до 264 Вольт переменного тока  
Потребляемая мощность 
менее 26 Вт (при установке только медных модулей)
менее 40 Вт (при установке только оптических модулей) 
Механические характеристики
Размеры
482.6мм x 44мм x 360мм
Крепление 
19” стойка 
Класс защиты 
IP40 
Рабочая температура 
от -40 до +85С 
Температура хранения 
-40 до +85C 
Влажность 
от 5 до 95% (без конденсата) 
MTBF 
359000 часов 
Гарантия 
5 лет 
</t>
  </si>
  <si>
    <t xml:space="preserve">Описание
KOM300A-1S2T-SC40-L2-L2-S - промышленные медиаконвертеры для преобразования сред между 10/100Base-T(X) медью и 100Base-FX оптикой, что позволяет увеличивать расстояния передачи данных благодаря оптике. KOM300A-1S2T-SC40-L2-L2-S поддерживают автоматическое согласование передачи по витой паре, так что не нужно выбирать между кроссовым и прямым кабелем - используйте любой. Устройства имеют широкий температурный диапазон: от -40 до +70°C, могут питаться от двух источников питания с напряжением 18 ~ 72 V DC.
Характеристики
Порты
10/100BaseTX порт
2 порта
Оптические порты
1
Стандарт оптических портов
100BaseFX
Тип оптики
Многомод 
Оптический разъём
SC
Дистанция
5 км 
Длина волны
1310 нм
Питание
Резервирование питания
Поддержка двух источников питания от 18 до 72 Вольт постоянного тока
Потребляемая мощность
2,2 W
Защита от высокого напряжения
Есть
Защита от обратной полярности
Есть
Физические характеристики
Класс защиты
IP-40
Размеры
30 × 115 × 91.5 мм
Рабочая температура
от -40° до 85°
Температура хранения
от -40° до 85°
Рабочая влажность
от 5% до 95% (без конденсата)
</t>
  </si>
  <si>
    <t>10005030/170822/3220848</t>
  </si>
  <si>
    <t>SICOM3028GPT-L3F-MB-HV-S</t>
  </si>
  <si>
    <t xml:space="preserve">SICOM3028GPT-L3F-MB-HV-S- промышленные коммутаторы 3-го уровня с широким спектром сфер применния и модульным дизайном для простоты масштабирования и расширения функционала устройства. Модели SICOM3028GPT-L3F-MB-HV-S могут иметь до 24 портов 10/100 Мбит/с и до 4 гигабитных портов. При этом возможна практически любая комбинация медных и оптических портов. 
Характеристики
Порты
Порты доступа – 24
Магистральные порты – 4
Системная производительность, протоколы и стандарты 
Стандарты: 
IEEE802.3i, IEEE802.3u, IEEE802.3ab, IEEE802.3ac, IEEE802.3ad, IEEE802.3z, IEEE802.3x, IEEE802.1p, IEEE802.1Q, IEEE802.1s, IEEE802.1X, IEC62439-6 
Протоколы 
DT-Ring, DT-Ring+, MSTP, DRP; IGMP Snooping, GMRP;
VLAN, GVRP, PVLAN;
Telnet, HTTP, HTTPS, SNMPv1/v2/v3, RMON, LLDP, Bootp, DHCP server/relay/client, DHCP Option 82;
SNTP, RTC;
SSH, SSL, TACACS+, RADIUS, ACL
ARP, Modbus TCP, QoS, LACP 
Питание
Напряжение питания 
от85 до 264 Вольт переменного тока или от 77 до 370 Вольт постоянного тока
Потребляемая мощность 
до 26 Вт (при установке только медных модулей)
до 40 Вт (при установке только оптических модулей) 
Механические характеристики
Размеры
482.6мм x 44мм x 360мм
Крепление 
19” стойка 
Класс защиты 
IP40 
Рабочая температура 
от -40 до +85С 
Температура хранения 
-40 до +85C 
Влажность 
от 5 до 95% (без конденсата) 
MTBF 
359000 часов 
Гарантия 
5 лет </t>
  </si>
  <si>
    <t>Opal5L-5T-LV-LV</t>
  </si>
  <si>
    <t xml:space="preserve">OPAL5L-5T-LV-LV - промышленные коммутаторы с пониженным потреблением питания, которые могут применяться в ветроэнергетике, распределительных сетях, подстанциях, энергетических SCADA-системах, системах водоочистки, на автомагистралях, в металлургии и других сферах.
Характеристики
Порты
10/100Base-TX 
5
Системная производительность
Стандарты: 
IEEE 802.3i, IEEE 802.3u
Пропускная способность устройства 
5.3 Mpps 
Питание
Напряжение питания 
Двойной вход питания 24 Вольт постоянного тока 
До 7 Вт
Механические характеристики
Размеры
29,6 x 114,5 x 68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t>
  </si>
  <si>
    <t>RU0000056712</t>
  </si>
  <si>
    <t>ЕАЭС N RU Д-CN.РА06.В.78311/22</t>
  </si>
  <si>
    <t>SYM3000A-LITE-2M6T-SC05-L3-L3</t>
  </si>
  <si>
    <t>RubySYM3A-3G-HV</t>
  </si>
  <si>
    <t xml:space="preserve">Устройство Ruby3A от компании Kyland поддерживает одновременно протоколы резервирования High Availability Seamless Redundancy (HSR) и Parallel Redundancy Protocol (PRP). Ruby3обеспечивает бесперебойную работу при любом возможном сбое в сети. Это достигается одновременной дублированной передачей данных по независимым маршрутам для обеспечения резервирования на уровне каналов.
Характеристики
Пароли – Многоуровневые пароли для защиты от неавторизованного доступа
SSH / SSL – Расширение парольной защиты, добавляющая 128-битное шифрование данных при передаче по сети
Защита MAC адресов – Возможность защищать порты так, чтобы доступ был только у устройств с авторизованными MAC адресами
RADIUS – Централизованная аутентификация с использованием хэш-функции MD5
SNMPv3 – Шифрование аутентификационной информации, передаваемой по сети (CBC-DES с ключом 56
Рабочая температура: от –40°C до +85°C
Нет движущихся частей
Веб, Telnet, CLI
SNMP v1/v2/v3 (56-бит шифрование)
Удалённый мониторинг (RMON)
Широкий набор функций диагностики и протоколирования
Поддержка IEC 62439 MIB
Потребляемое напряжение: 100-240VAC, 50/60Гц; 110-220VDC(85-264Вольт переменного тока или 77-300Вольт постоянного тока)
Клеммная колодка для надёжных и удобных подключений кабелей
Размеры(ДхВхШ): 66×135×107.5 мм 
</t>
  </si>
  <si>
    <t>ЕАЭС N RU Д-CN.РА04.В.11802/22</t>
  </si>
  <si>
    <t xml:space="preserve">SYM3000A-LITE-2M6T-SC05-L3-L3 - промышленные коммутаторы с пониженным потреблением питания, которые могут применяться в ветроэнергетике, распределительных сетях, подстанциях, энергетических SCADA-системах, системах водоочистки, на автомагистралях, в металлургии и других сферах.
Характеристики
Порты
10/100Base-TX 
6 
100Base-FX (многомод, 850, SC) 
2 
Системная производительность
Стандарты: 
IEEE 802.3i, IEEE 802.3u, IEEE 802.3ac, IEEE802.3ad, IEEE 802.3z, IEEE 802.3x, IEEE 802.1p, IEEE 802.1Q, IEEE 802.1s, IEEE 802.1X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Двойной вход питания 24 Вольт постоянного тока 
До 7 Вт
Механические характеристики
Размеры
53.6 x 135 x 106.5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t>
  </si>
  <si>
    <t>10005030/111022/3275006</t>
  </si>
  <si>
    <t>10005030/131022/3276137</t>
  </si>
  <si>
    <t>SYM3000A-LITE-2GX8T-L3-L3</t>
  </si>
  <si>
    <t xml:space="preserve">SYM3000A-LITE-2GX8T-L3-L3 - промышленные коммутаторы с пониженным потреблением питания, которые могут применяться в ветроэнергетике, распределительных сетях, подстанциях, энергетических SCADA-системах, системах водоочистки, на автомагистралях, в металлургии и других сферах.
Характеристики
Порты
10/100Base-TX 
8
100/1000Base-X SFP
2 
Системная производительность
Стандарты: 
IEEE 802.3i, IEEE 802.3u, IEEE 802.3ac, IEEE802.3ad, IEEE 802.3z, IEEE 802.3x, IEEE 802.1p, IEEE 802.1Q, IEEE 802.1s, IEEE 802.1X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Двойной вход питания 24 Вольт постоянного тока 
До 7 Вт
Механические характеристики
Размеры
53.6 x 135 x 106.5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t>
  </si>
  <si>
    <t>SYM3000A-LITE-2S4T-SC40-L3-L3</t>
  </si>
  <si>
    <t xml:space="preserve">SYM3000A-LITE-2S4T-SC40-L3-L3 - промышленные коммутаторы с пониженным потреблением питания, которые могут применяться в ветроэнергетике, распределительных сетях, подстанциях, энергетических SCADA-системах, системах водоочистки, на автомагистралях, в металлургии и других сферах.
Характеристики
Порты
10/100Base-TX 
4
100Base-FX (одномод, 1310, SC) 
2 
Системная производительность
Стандарты: 
IEEE 802.3i, IEEE 802.3u, IEEE 802.3ac, IEEE802.3ad, IEEE 802.3z, IEEE 802.3x, IEEE 802.1p, IEEE 802.1Q, IEEE 802.1s, IEEE 802.1X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Двойной вход питания 24 Вольт постоянного тока 
До 7 Вт
Механические характеристики
Размеры
53.6 x 135 x 106.5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t>
  </si>
  <si>
    <t xml:space="preserve">SICOM3000A - серия гигабитных управляемых коммутаторов на DIN-рейку, разработанных Symanitron для систем передачи данных в энергетике, на транспорте, в горнодобывающей промышленности и др. Коммутатор имеет до 12 гигабитных SFP разъемов и до 16 гигабитных RJ45 портов. Прочный корпус без вентилятора с гофрированной поверхностью, способность работать в широком температурном диапазоне позволяет оборудованию стабильно работать в экстремальных промышленных условиях. В данном устройстве реализована поддержка протокола синхронизации точного времени IEEE1588 PTPv2 с точностью синхронизации 100нс.
Характеристики
Порты
10/100Base-TX Ethernet RJ45
6 шт.
Системная производительность
Стандарты: 
IEEE802.3i, IEEE802.3u, IEEE802.3ab, IEEE802.3z, IEEE 802.3ad, IEEE 802.1d, IEEE 802.1w, IEEE802.3x, IEEE802.1p, IEEE802.1Q, IEEE802.1s, IEEE 802.1x, IEEE 802.1ab, IEEE1588 V2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Двойной вход питания 24 Вольт постоянного тока (18-72VDC)
До 10 Вт
Механические характеристики
Размеры
66×135×107.5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t>
  </si>
  <si>
    <t>SYM3000A-LITE-2M4T-SC05-L3-L3</t>
  </si>
  <si>
    <t xml:space="preserve">SYM3000A-LITE-2M4T-SC05-L3-L3 - промышленные коммутаторы с пониженным потреблением питания, которые могут применяться в ветроэнергетике, распределительных сетях, подстанциях, энергетических SCADA-системах, системах водоочистки, на автомагистралях, в металлургии и других сферах.
Характеристики
Порты
10/100Base-TX 
4 
100Base-FX (многомод, 850, SC) 
2 
Системная производительность
Стандарты: 
IEEE 802.3i, IEEE 802.3u, IEEE 802.3ac, IEEE802.3ad, IEEE 802.3z, IEEE 802.3x, IEEE 802.1p, IEEE 802.1Q, IEEE 802.1s, IEEE 802.1X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Двойной вход питания 24 Вольт постоянного тока 
До 7 Вт
Механические характеристики
Размеры
53.6 x 135 x 106.5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t>
  </si>
  <si>
    <t>SYM3000A-6T-L2-L2</t>
  </si>
  <si>
    <t>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консольным кабелем.</t>
  </si>
  <si>
    <t>10005030/231022/3286133</t>
  </si>
  <si>
    <t>RU0000053826</t>
  </si>
  <si>
    <t>вес чистый за общиий по тех описанию</t>
  </si>
  <si>
    <t xml:space="preserve">Описание
SICOM3024P-4GX24T-HV-HV-S - промышленные коммутаторы 2 уровня, монтируемые в 19" стойку. Устройства имеют 4 гигабитных порта и 24 порта 100 Мбит/с, которые могут быть как медными так и оптическими.
Коммутаторы крепятся в 19-дюймовую стойку (занимают 1U). Устройства соответствуют IEC61850-3, IEEE1613, EN50155, EN50121-4, NEMA TS-2 для использования в энергетике и на транспорте. Диапазон рабочих температур коммутаторов SICOM3024P-2M26T-SC05-HV-HV-S от -40° до +85°. 
Характеристики
Порты
Медные или оптические порты 100 Мбит/с 
26
Порты SFP+ 10G
4
Системная производительность
Стандарты: 
IEEE 802.3i, IEEE 802.3u, IEEE 802.3ab, IEEE 802.3z, IEEE 802.3x, IEEE 802.1p, IEEE 802.1Q, IEEE 802.1s 
Протоколы 
DT-Ring, DT-Ring+, MSTP
IGMP Snooping, GMRP; 
VLAN, PVLAN; 
Telnet, HTTP, HTTPS, SNMPv1/v2/v3, RMON, LLDP, DHCP server; 
SNTP, RTC;
DT-Psec, SSH, SSL, ACL;
FTP, Syslog;
ARP, QoS 
Пропускная способность устройства 
9.5 Mpps 
Питание
Напряжение питания 
 От 85 до264Вольт переменного тока или от 77 до 300Вольт постоянного тока 
Потребляемая мощность 
менее 30 Вт 
Механические характеристики
Размеры
482.6×44×322.5 мм 
Крепление 
19” стойка 
Класс защиты 
IP40 
Вес 
4 кг
Рабочая температура 
от -40 до +85С 
Температура хранения 
-40 до +85C 
Влажность 
от 5 до 95% (без конденсата) 
MTBF 
346889 часов 
Гарантия 
5 лет </t>
  </si>
  <si>
    <t>SYM3000A-LITE-2M4T-SТ05-L3-L3</t>
  </si>
  <si>
    <t>10005030/011122/3295892</t>
  </si>
  <si>
    <t xml:space="preserve">SICOM3028GPT-L3GT-MB-L3-L3-S </t>
  </si>
  <si>
    <t xml:space="preserve">SICOM3028GPT-L3G-MB-L3-L3-S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Характеристики
Порты
Оптические или медные порты 100 Мбит/с 
до 24 
Оптические или медные гигабитные порты 
до 4
Системная производительность
Стандарты: 
IEEE 802.3i, IEEE 802.3u, IEEE 802.3ab, IEEE802.3ac, IEEE 802.3ad, IEEE 802.3z, IEEE 802.3x, IEEE 802.1p, IEEE 802.1Q, IEEE 802.1s, IEEE802.1X, IEC62439-6,
IEC 61850-8-1 GOOSE сообщения 
Протоколы 
DT-Ring, DT-Ring+, MSTP, DRP, VRRP; IGMP, IGMP Snooping, GMRP, PIM-SM, PIM-DM, DVMRP; 
RIPv1/v2, OSPFv2, BGPv4;
VLAN, GVRP, PVLAN; 
Telnet, HTTP, HTTPS, SNMPv1/v2/v3, RMON, LLDP, BootP, DHCP Option 82, DHCP server/relay/client; 
SNTP, RTC;
SSH, SSL, TACACS+, RADIUS, ACL; 
ARP, Modbus TCP, QoS, LACP
PRP, HSR 
Пропускная способность устройства 
9.5 Mpps 
Шифрование
Не поддерживается 
Питание
Напряжение питания: 2x от 18 до 36 Вольт постоянного тока
Механические характеристики
Размеры
482.6 x 44 x 360 мм
Крепление 
19” стойка 
Класс защиты 
IP40 
Рабочая температура 
от -40 до +85С 
Температура хранения 
-40 до +85C 
Влажность 
от 5 до 95% (без конденсата) 
MTBF 
368000 часов 
Гарантия 
5 лет 
</t>
  </si>
  <si>
    <t>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двумя клеммными колодками, уголки для крепления  консольным кабелем.</t>
  </si>
  <si>
    <t>SYM3000A-2GX16GE-L2-L2</t>
  </si>
  <si>
    <t>KOM300A-1M2T-ST05-HV-S</t>
  </si>
  <si>
    <t>ЕАЭС N RU Д-CN.РА08.В.15787/22</t>
  </si>
  <si>
    <t xml:space="preserve">ПРОМЫШЛЕННЫЕ МЕДИАКОНВЕРТЕРЫ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t>
  </si>
  <si>
    <t>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консольным кабелем.</t>
  </si>
  <si>
    <t>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с консольным кабелем.</t>
  </si>
  <si>
    <t xml:space="preserve">SYM3000A - серия гигабитных управляемых коммутаторов на DIN-рейку, разработанных для систем передачи данных в энергетике, на транспорте, в горнодобывающей промышленности и др. Коммутатор имеет до 12 гигабитных SFP разъемов и до 16 гигабитных RJ45 портов. Прочный корпус без вентилятора с гофрированной поверхностью, способность работать в широком температурном диапазоне позволяет оборудованию стабильно работать в экстремальных промышленных условиях. В данном устройстве реализована поддержка протокола синхронизации точного времени IEEE1588 PTPv2 с точностью синхронизации 100нс.
Характеристики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Двойной вход питания 24 Вольт постоянного тока (18-72VDC)
До 10 Вт
Механические характеристики
Размеры
88х135х137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t>
  </si>
  <si>
    <t xml:space="preserve">от 5% до 95% (без конденсата) KOM300A - промышленные медиаконвертеры для преобразования сред между 10/100Base-T(X) медью и 100Base-FX оптикой, что позволяет увеличивать расстояния передачи данных благодаря оптике. KOM300A поддерживают автоматическое согласование передачи по витой паре, так что не нужно выбирать между кроссовым и прямым кабелем - используйте любой. Устройства имеют широкий температурный диапазон: от -40 до +70°C, могут питаться от двух источников питания с напряжением 18 ~ 72 V DC.
Характеристики
Порты
10/100BaseTX порт
2 порта
Оптические порты
1
Стандарт оптических портов
100BaseFX
Тип оптики
Многомод 
Оптический разъём
ST
Дистанция
5 км 
Длина волны
1310 нм
Питание
Резервирование питания
Поддержка двух источников питания 85-264VAC/77-300VDC на 5-пиновой клеммной колодке
Потребляемая мощность
2,2 W
Защита от высокого напряжения
Есть
Защита от обратной полярности
Есть
Физические характеристики
Класс защиты
IP-40
Размеры
30 × 115 × 91.5 мм
Рабочая температура
от -40° до 85°
Температура хранения
от -40° до 85°
Рабочая влажность
</t>
  </si>
  <si>
    <t>10005030/281122/3323902</t>
  </si>
  <si>
    <t>SYM3000A-8T-L2-L2-PN</t>
  </si>
  <si>
    <t>ЕАЭС N RU Д-CN.РА06.В.78359/22</t>
  </si>
  <si>
    <t xml:space="preserve">SYM3000A - серия гигабитных управляемых коммутаторов на DIN-рейку, разработанных для систем передачи данных в энергетике, на транспорте, в горнодобывающей промышленности и др. Коммутатор имеет до 12 гигабитных SFP разъемов и до 16 гигабитных RJ45 портов. Прочный корпус без вентилятора с гофрированной поверхностью, способность работать в широком температурном диапазоне позволяет оборудованию стабильно работать в экстремальных промышленных условиях. В данном устройстве реализована поддержка протокола синхронизации точного времени IEEE1588 PTPv2 с точностью синхронизации 100нс.
Характеристики
Порты
10/100Base-TX Ethernet RJ45
8 шт.
Системная производительность
Стандарты: 
IEEE802.3i, IEEE802.3u, IEEE802.3ab, IEEE802.3z, IEEE 802.3ad, IEEE 802.1d, IEEE 802.1w, IEEE802.3x, IEEE802.1p, IEEE802.1Q, IEEE802.1s, IEEE 802.1x, IEEE 802.1ab, IEEE1588 V2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Двойной вход питания 24 Вольт постоянного тока (18-72VDC)
До 10 Вт
Механические характеристики
Размеры
66×135×107.5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t>
  </si>
  <si>
    <t>10005030/301122/3325727</t>
  </si>
  <si>
    <t>SYM3000A-2GX8T-HV</t>
  </si>
  <si>
    <t xml:space="preserve">SYM3000A - серия гигабитных управляемых коммутаторов на DIN-рейку, разработанных для систем передачи данных в энергетике, на транспорте, в горнодобывающей промышленности и др. Коммутатор имеет до 12 гигабитных SFP разъемов и до 16 гигабитных RJ45 портов. Прочный корпус без вентилятора с гофрированной поверхностью, способность работать в широком температурном диапазоне позволяет оборудованию стабильно работать в экстремальных промышленных условиях. В данном устройстве реализована поддержка протокола синхронизации точного времени IEEE1588 PTPv2 с точностью синхронизации 100нс.
Характеристики
Порты
10/100Base-TX Ethernet RJ45
8 шт.
100/1000Base-X Ethernet SFP
2 шт.
Системная производительность
Стандарты: 
IEEE802.3i, IEEE802.3u, IEEE802.3ab, IEEE802.3z, IEEE 802.3ad, IEEE 802.1d, IEEE 802.1w, IEEE802.3x, IEEE802.1p, IEEE802.1Q, IEEE802.1s, IEEE 802.1x, IEEE 802.1ab, IEEE1588 V2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Вход питания 220 Вольт постоянного тока и 220 переменного тока (85-264VAC/77-300VDC)
До 10 Вт
Механические характеристики
Размеры
66×135×107.5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t>
  </si>
  <si>
    <t xml:space="preserve">SYM3000A - серия гигабитных управляемых коммутаторов на DIN-рейку, разработанных для систем передачи данных в энергетике, на транспорте, в горнодобывающей промышленности и др. Коммутатор имеет до 12 гигабитных SFP разъемов и до 16 гигабитных RJ45 портов. Прочный корпус без вентилятора с гофрированной поверхностью, способность работать в широком температурном диапазоне позволяет оборудованию стабильно работать в экстремальных промышленных условиях. В данном устройстве реализована поддержка протокола синхронизации точного времени IEEE1588 PTPv2 с точностью синхронизации 100нс.
Характеристики
Порты
10/100Base-TX Ethernet RJ45
16 шт.
Системная производительность
Стандарты: 
IEEE802.3i, IEEE802.3u, IEEE802.3ab, IEEE802.3z, IEEE 802.3ad, IEEE 802.1d, IEEE 802.1w, IEEE802.3x, IEEE802.1p, IEEE802.1Q, IEEE802.1s, IEEE 802.1x, IEEE 802.1ab, IEEE1588 V2 
Протоколы 
DT-Ring, DT-Ring+, DT-VLAN, DRP, MSTP; 
IGMP Snooping, GMRP; 
VLAN, GVRP, PVLAN;
Telnet, HTTP, HTTPS, SNMPv1/v2/v3, RMON, LLDP, SNTP, BootP, DHCP server/relay/client, DHCP Option 82; SSH, SSL, TACACS+, ACL; 
Syslog, FTP, TFTP; 
LACP, ARP, QoS, Modbus TCP 
Пропускная способность устройства 
5.3 Mpps 
Питание
Напряжение питания 
Двойной вход питания 24 Вольт постоянного тока (18-72VDC)
До 10 Вт
Механические характеристики
Размеры
102х135х137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t>
  </si>
  <si>
    <t>10005030/171222/3346810</t>
  </si>
  <si>
    <t>SYM3000A-4GX16GE-L2-L2</t>
  </si>
  <si>
    <t xml:space="preserve">SYM3000A - серия гигабитных управляемых коммутаторов на DIN-рейку, разработанных для систем передачи данных в энергетике, на транспорте, в горнодобывающей промышленности и др. Коммутатор имеет до 12 гигабитных SFP разъемов и до 16 гигабитных RJ45 портов. Прочный корпус без вентилятора с гофрированной поверхностью, способность работать в широком температурном диапазоне позволяет оборудованию стабильно работать в экстремальных промышленных условиях. В данном устройстве реализована поддержка протокола синхронизации точного времени IEEE1588 PTPv2 с точностью синхронизации 100нс.
Характеристики
Порты
10/100/1000Base-TX Ethernet RJ45
16 шт.
100/1000Base-X Ethernet SFP
4 шт.
Системная производительность
Стандарты: 
IEEE802.3i, IEEE802.3u, IEEE802.3ab, IEEE802.3z, IEEE 802.3ad, IEEE 802.1d, IEEE 802.1w, IEEE802.3x, IEEE802.1p, IEEE802.1Q, IEEE802.1s, IEEE 802.1x, IEEE 802.1ab, IEEE1588 V2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Двойной вход питания 24 Вольт постоянного тока (18-72VDC)
До 10 Вт
Механические характеристики
Размеры
102х135х137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t>
  </si>
  <si>
    <t>SYM3000A-2GX8T-L2-L2</t>
  </si>
  <si>
    <t xml:space="preserve">SYM3000A - серия гигабитных управляемых коммутаторов на DIN-рейку, разработанных для систем передачи данных в энергетике, на транспорте, в горнодобывающей промышленности и др. Коммутатор имеет до 12 гигабитных SFP разъемов и до 16 гигабитных RJ45 портов. Прочный корпус без вентилятора с гофрированной поверхностью, способность работать в широком температурном диапазоне позволяет оборудованию стабильно работать в экстремальных промышленных условиях. В данном устройстве реализована поддержка протокола синхронизации точного времени IEEE1588 PTPv2 с точностью синхронизации 100нс.
Характеристики
Порты
10/100Base-TX Ethernet RJ45
8 шт.
100/1000Base-X Ethernet SFP
2 шт.
Системная производительность
Стандарты: 
IEEE802.3i, IEEE802.3u, IEEE802.3ab, IEEE802.3z, IEEE 802.3ad, IEEE 802.1d, IEEE 802.1w, IEEE802.3x, IEEE802.1p, IEEE802.1Q, IEEE802.1s, IEEE 802.1x, IEEE 802.1ab, IEEE1588 V2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Двойной вход питания 24 Вольт постоянного тока (18-72VDC)
До 10 Вт
Механические характеристики
Размеры
66×135×107.5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t>
  </si>
  <si>
    <t>SYM3000A-2GX16T-L2-L2</t>
  </si>
  <si>
    <t xml:space="preserve">SYM3000A - серия гигабитных управляемых коммутаторов на DIN-рейку, разработанных для систем передачи данных в энергетике, на транспорте, в горнодобывающей промышленности и др. Коммутатор имеет до 12 гигабитных SFP разъемов и до 16 гигабитных RJ45 портов. Прочный корпус без вентилятора с гофрированной поверхностью, способность работать в широком температурном диапазоне позволяет оборудованию стабильно работать в экстремальных промышленных условиях. В данном устройстве реализована поддержка протокола синхронизации точного времени IEEE1588 PTPv2 с точностью синхронизации 100нс.
Характеристики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Двойной вход питания 24 Вольт постоянного тока (18-72VDC)
До 10 Вт
Механические характеристики
Размеры
102х135х137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t>
  </si>
  <si>
    <t xml:space="preserve">SYM3000A-LITE-2GX8T-L3-L3 -  - промышленные коммутаторы с пониженным потреблением питания, которые могут применяться в ветроэнергетике, распределительных сетях, подстанциях, энергетических SCADA-системах, системах водоочистки, на автомагистралях, в металлургии и других сферах.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Двойной вход питания 24 Вольт постоянного тока 
До 7 Вт
Механические характеристики
Размеры
53.6 x 135 x 106.5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t>
  </si>
  <si>
    <t xml:space="preserve">SYM3000A-4SFP8T-L2-L2- гигабитные управляемые коммутаторы на DIN-рейку, разработанных для систем передачи данных в энергетике, на транспорте, в горнодобывающей промышленности и др. Коммутатор имеет до 12 гигабитных SFP разъемов и до 16 гигабитных RJ45 портов. Прочный корпус без вентилятора с гофрированной поверхностью, способность работать в широком температурном диапазоне позволяет оборудованию стабильно работать в экстремальных промышленных условиях. В данном устройстве реализована поддержка протокола синхронизации точного времени IEEE1588 PTPv2 с точностью синхронизации 100нс.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Двойной вход питания 24 Вольт постоянного тока (18-72VDC)
До 10 Вт
Механические характеристики
Размеры
66×135×107.5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t>
  </si>
  <si>
    <t xml:space="preserve">SYM3000A-LITE-8T-L3-L3 - промышленные коммутаторы с пониженным потреблением питания, которые могут применяться в ветроэнергетике, распределительных сетях, подстанциях, энергетических SCADA-системах, системах водоочистки, на автомагистралях, в металлургии и других сферах.
Характеристики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Двойной вход питания 24 Вольт постоянного тока 
До 7 Вт
Механические характеристики
Размеры
53.6 x 135 x 106.5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t>
  </si>
  <si>
    <t xml:space="preserve">SYM3000A-2GX16GE-L2-L2 - серия гигабитных управляемых коммутаторов на DIN-рейку, разработанных для систем передачи данных в энергетике, на транспорте, в горнодобывающей промышленности и др. Коммутатор имеет до 12 гигабитных SFP разъемов и до 16 гигабитных RJ45 портов. Прочный корпус без вентилятора с гофрированной поверхностью, способность работать в широком температурном диапазоне позволяет оборудованию стабильно работать в экстремальных промышленных условиях. В данном устройстве реализована поддержка протокола синхронизации точного времени IEEE1588 PTPv2 с точностью синхронизации 100нс.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Двойной вход питания 24 Вольт постоянного тока (18-72VDC)
До 10 Вт
Механические характеристики
Размеры
102х135х137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t>
  </si>
  <si>
    <t xml:space="preserve">SYM3000A-2GX16GE-L2-L2 - серия гигабитных управляемых коммутаторов на DIN-рейку, разработанных для систем передачи данных в энергетике, на транспорте, в горнодобывающей промышленности и др. Коммутатор имеет до 12 гигабитных SFP разъемов и до 16 гигабитных RJ45 портов. Прочный корпус без вентилятора с гофрированной поверхностью, способность работать в широком температурном диапазоне позволяет оборудованию стабильно работать в экстремальных промышленных условиях. В данном устройстве реализована поддержка протокола синхронизации точного времени IEEE1588 PTPv2 с точностью синхронизации 100нс.
Характеристики
Порты
10/100/1000Base-TX Ethernet RJ45
16 шт.
100/1000Base-X Ethernet SFP
2 шт.
Системная производительность
Стандарты: 
IEEE802.3i, IEEE802.3u, IEEE802.3ab, IEEE802.3z, IEEE 802.3ad, IEEE 802.1d, IEEE 802.1w, IEEE802.3x, IEEE802.1p, IEEE802.1Q, IEEE802.1s, IEEE 802.1x, IEEE 802.1ab, IEEE1588 V2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Двойной вход питания 24 Вольт постоянного тока (18-72VDC)
До 10 Вт
Механические характеристики
Размеры
102х135х137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t>
  </si>
  <si>
    <t xml:space="preserve">SYM3000A-2GX8T-L2-L2 - серия гигабитных управляемых коммутаторов на DIN-рейку, разработанных для систем передачи данных в энергетике, на транспорте, в горнодобывающей промышленности и др. Коммутатор имеет до 12 гигабитных SFP разъемов и до 16 гигабитных RJ45 портов. Прочный корпус без вентилятора с гофрированной поверхностью, способность работать в широком температурном диапазоне позволяет оборудованию стабильно работать в экстремальных промышленных условиях. В данном устройстве реализована поддержка протокола синхронизации точного времени IEEE1588 PTPv2 с точностью синхронизации 100нс.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Двойной вход питания 24 Вольт постоянного тока (18-72VDC)
До 10 Вт
Механические характеристики
Размеры
66×135×107.5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t>
  </si>
  <si>
    <t xml:space="preserve">SYM3000A-2GX16T-L2-L2 -  гигабитные управляемые коммутаторы на DIN-рейку, разработанных для систем передачи данных в энергетике, на транспорте, в горнодобывающей промышленности и др. Коммутатор имеет до 12 гигабитных SFP разъемов и до 16 гигабитных RJ45 портов. Прочный корпус без вентилятора с гофрированной поверхностью, способность работать в широком температурном диапазоне позволяет оборудованию стабильно работать в экстремальных промышленных условиях. В данном устройстве реализована поддержка протокола синхронизации точного времени IEEE1588 PTPv2 с точностью синхронизации 100нс.
Характеристики
Порты
10/100Base-TX Ethernet RJ45
16 шт.
100/1000Base-X Ethernet SFP
2 шт.
Системная производительность
Стандарты: 
IEEE802.3i, IEEE802.3u, IEEE802.3ab, IEEE802.3z, IEEE 802.3ad, IEEE 802.1d, IEEE 802.1w, IEEE802.3x, IEEE802.1p, IEEE802.1Q, IEEE802.1s, IEEE 802.1x, IEEE 802.1ab, IEEE1588 V2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Двойной вход питания 24 Вольт постоянного тока (18-72VDC)
До 10 Вт
Механические характеристики
Размеры
102х135х137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t>
  </si>
  <si>
    <t>10005030/040123/3000837</t>
  </si>
  <si>
    <t>SICOM3024P-4GX4M20T-SC05-HV-HV-S</t>
  </si>
  <si>
    <t xml:space="preserve">SICOM3028GPT-L2GT-MB-HV-HV-S - промышленные коммутаторы с широким спектром сфер применния и модульным дизайном для простоты масштабирования и расширения функционала устройства. Модели SICOM3028GPT-L2GT могут иметь до 28 гигабитных портов, а модели SICOM3028GPT-L2GT-MB-HV-HV-S до 24 портов 100 Мбит/с и до 4 гигабитных портов.. Устройства оборудованы PTP-картой для поддержки синхронизации времени (IEEE1588v2) на всех 28 портах устройства.
Коммутаторы крепятся в 19-дюймовую стойку (занимают 1U), крепятся передней или задней панелью. Устройства соответствуют IEC61850-3 и IEEE1613 для электроподстанций, имеют консольный Mini USB порт, соответствуют IEC62439-6, поддерживаюют VCT (Virtual Cable Test). Диапазон рабочих температур коммутаторов SICOM3028GPT-L2GT от -40° до +85°.
Характеристики
Порты
Медные или оптические порты 100 Мбит/с
до 24
Медные или оптические гигабитные порты
до 28 
Системная производительность
Стандарты:
IEEE802.3i, IEEE802.3u, IEEE802.3ab, IEEE802.3ac, IEEE802.3ad, IEEE802.3z, IEEE802.3x, IEEE802.1p, IEEE802.1Q, IEEE802.1s, IEEE802.1X, IEC62439-6, 
IEC 61850-8-1 GOOSE сообщения
Протоколы
DT-Ring, DT-Ring+, MSTP, DRP; IGMP Snooping, GMRP;
VLAN, GVRP, PVLAN;
Telnet, HTTP, HTTPS, SNMPv1/v2/v3, RMON, LLDP, Bootp, DHCP server/relay/client, DHCP Option 82;
SNTP, PTP, RTC;
SSH, SSL, TACACS+, RADIUS, ACL; Syslog;
ARP, Modbus TCP, QoS, LACP
PRP, HSR
Пропускная способность устройства
41.7 Mpps (SICOM3028GPT-L2GT),
9.5 Mpps (SICOM3028GPT-L2GT)
Параметры оптических портов
Длина волны
1310нм (одномод), 1550нм (одномод), 1310 (многомод)
Расстояние передачи
10~80км (одномод) , до 5 км (100M многомод) , до 2 км (1000M многомод)
Тип коннектора
SC, ST, FC
Питание
Напряжение питания
Резервированное: 220Вольт переменного напряжения/Вольт постоянного напряжения (77-300VDC/85-264VAC)
Потребляемая мощность
До 42 Вт
Механические характеристики
Размеры
482.6мм x 44мм x 360мм
Крепление
19” стойка
Класс защиты
IP40
Рабочая температура
от -40 до +85С
Температура хранения
-40 до +85C
Влажность
от 5 до 95% (без конденсата)
MTBF
359000 часов
Гарантия
5 лет
</t>
  </si>
  <si>
    <t xml:space="preserve">SICOM3024P-4GX4M20T-SC05-HV-HV-S - промышленные коммутаторы 2 уровня, монтируемые в 19" стойку. Устройства имеют 4 гигабитных порта и 24 порта 100 Мбит/с, которые могут быть как медными так и оптическими.
Коммутаторы крепятся в 19-дюймовую стойку (занимают 1U). Устройства соответствуют IEC61850-3, IEEE1613, EN50155, EN50121-4, NEMA TS-2 для использования в энергетике и на транспорте. Диапазон рабочих температур коммутаторов SICOM3024P-2M26T-SC05-HV-HV-S от -40° до +85°. 
Характеристики
Порты
Медные порты 100 Мбит/с 
20
Оптические порты 100 Мбит/с 
4
Порты SFP+ 10G
4
Системная производительность
Стандарты: 
IEEE 802.3i, IEEE 802.3u, IEEE 802.3ab, IEEE 802.3z, IEEE 802.3x, IEEE 802.1p, IEEE 802.1Q, IEEE 802.1s 
Протоколы 
DT-Ring, DT-Ring+, MSTP
IGMP Snooping, GMRP; 
VLAN, PVLAN; 
Telnet, HTTP, HTTPS, SNMPv1/v2/v3, RMON, LLDP, DHCP server; 
SNTP, RTC;
DT-Psec, SSH, SSL, ACL;
ARP, QoS 
Пропускная способность устройства 
9.5 Mpps 
Питание
Напряжение питания 
 От 85 до264Вольт переменного тока или от 77 до 300Вольт постоянного тока 
Потребляемая мощность 
менее 30 Вт 
Механические характеристики
Размеры
482.6×44×322.5 мм 
Крепление 
19” стойка 
Класс защиты 
IP40 
Рабочая температура 
от -40 до +85С 
Температура хранения 
-40 до +85C 
Влажность 
от 5 до 95% (без конденсата) 
MTBF 
346889 часов 
Гарантия 
5 лет </t>
  </si>
  <si>
    <t xml:space="preserve">SICOM3024P-4GX4M20T-SC05-HV-HV-S - промышленные коммутаторы 2 уровня, монтируемые в 19" стойку. Устройства имеют 4 гигабитных порта и 24 порта 100 Мбит/с, которые могут быть как медными так и оптическими.
Коммутаторы крепятся в 19-дюймовую стойку (занимают 1U). Устройства соответствуют IEC61850-3, IEEE1613, EN50155, EN50121-4, NEMA TS-2 для использования в энергетике и на транспорте. Диапазон рабочих температур коммутаторов SICOM3024P-2M26T-SC05-HV-HV-S от -40° до +85°. 
Протоколы 
DT-Ring, DT-Ring+, MSTP
IGMP Snooping, GMRP; 
VLAN, PVLAN; 
Telnet, HTTP, HTTPS, SNMPv1/v2/v3, RMON, LLDP, DHCP server; 
SNTP, RTC;
DT-Psec, SSH, SSL, ACL;
ARP, QoS 
Пропускная способность устройства 
9.5 Mpps 
Питание
Напряжение питания 
 От 85 до264Вольт переменного тока или от 77 до 300Вольт постоянного тока 
Потребляемая мощность 
менее 30 Вт 
Механические характеристики
Размеры
482.6×44×322.5 мм 
Крепление 
19” стойка 
Класс защиты 
IP40 
Рабочая температура 
от -40 до +85С 
Температура хранения 
-40 до +85C 
Влажность 
от 5 до 95% (без конденсата) 
MTBF 
346889 часов 
Гарантия 
5 лет </t>
  </si>
  <si>
    <t xml:space="preserve">SICOM3028GPT-L2GT-MB-HV-HV-S - промышленные коммутаторы с широким спектром сфер применния и модульным дизайном для простоты масштабирования и расширения функционала устройства. Модели SICOM3028GPT-L2GT могут иметь до 28 гигабитных портов, а модели SICOM3028GPT-L2GT-MB-HV-HV-S до 24 портов 100 Мбит/с и до 4 гигабитных портов.. Устройства оборудованы PTP-картой для поддержки синхронизации времени (IEEE1588v2) на всех 28 портах устройства.
Коммутаторы крепятся в 19-дюймовую стойку (занимают 1U), крепятся передней или задней панелью. Устройства соответствуют IEC61850-3 и IEEE1613 для электроподстанций, имеют консольный Mini USB порт, соответствуют IEC62439-6, поддерживаюют VCT (Virtual Cable Test). Диапазон рабочих температур коммутаторов SICOM3028GPT-L2GT от -40° до +85°.
Протоколы
DT-Ring, DT-Ring+, MSTP, DRP; IGMP Snooping, GMRP;
VLAN, GVRP, PVLAN;
Telnet, HTTP, HTTPS, SNMPv1/v2/v3, RMON, LLDP, Bootp, DHCP server/relay/client, DHCP Option 82;
SNTP, PTP, RTC;
SSH, SSL, TACACS+, RADIUS, ACL; Syslog;
ARP, Modbus TCP, QoS, LACP
PRP, HSR
Длина волны
1310нм (одномод), 1550нм (одномод), 1310 (многомод)
Расстояние передачи
10~80км (одномод) , до 5 км (100M многомод) , до 2 км (1000M многомод)
Тип коннектора
Питание
Напряжение питания
Резервированное: 220Вольт переменного напряжения/Вольт постоянного напряжения (77-300VDC/85-264VAC)
Потребляемая мощность
До 42 Вт
Механические характеристики
Размеры
482.6мм x 44мм x 360мм
Крепление
19” стойка
Класс защиты
IP40
Рабочая температура
от -40 до +85С
Температура хранения
-40 до +85C
Влажность
от 5 до 95% (без конденсата)
MTBF
359000 часов
Гарантия
5 лет
</t>
  </si>
  <si>
    <t>SICOM3024P-4GX8M16T-SC05-HV-HV-S</t>
  </si>
  <si>
    <t xml:space="preserve">SICOM3024P-4GX8M16T-SC05-HV-HV-S - промышленные коммутаторы 2 уровня, монтируемые в 19" стойку. Устройства имеют 4 гигабитных порта и 24 порта 100 Мбит/с, которые могут быть как медными так и оптическими.
Коммутаторы крепятся в 19-дюймовую стойку (занимают 1U). Устройства соответствуют IEC61850-3, IEEE1613, EN50155, EN50121-4, NEMA TS-2 для использования в энергетике и на транспорте. Диапазон рабочих температур коммутаторов SICOM3024P-2M26T-SC05-HV-HV-S от -40° до +85°. 
Протоколы 
DT-Ring, DT-Ring+, MSTP
IGMP Snooping, GMRP; 
VLAN, PVLAN; 
Telnet, HTTP, HTTPS, SNMPv1/v2/v3, RMON, LLDP, DHCP server; 
SNTP, RTC;
DT-Psec, SSH, SSL, ACL;
FTP, Syslog;
ARP, QoS 
Пропускная способность устройства 
9.5 Mpps 
Питание
Напряжение питания 
 От 85 до264Вольт переменного тока или от 77 до 300Вольт постоянного тока 
Потребляемая мощность 
менее 30 Вт 
Механические характеристики
Размеры
482.6×44×322.5 мм 
Крепление 
19” стойка 
Класс защиты 
IP40 
Рабочая температура 
от -40 до +85С 
Температура хранения 
-40 до +85C 
Влажность 
от 5 до 95% (без конденсата) 
MTBF 
346889 часов 
Гарантия 
5 лет 
</t>
  </si>
  <si>
    <t xml:space="preserve">SICOM3024P-4GX8M16T-SC05-HV-HV-S - промышленные коммутаторы 2 уровня, монтируемые в 19" стойку. Устройства имеют 4 гигабитных порта и 24 порта 100 Мбит/с, которые могут быть как медными так и оптическими.
Коммутаторы крепятся в 19-дюймовую стойку (занимают 1U). Устройства соответствуют IEC61850-3, IEEE1613, EN50155, EN50121-4, NEMA TS-2 для использования в энергетике и на транспорте. Диапазон рабочих температур коммутаторов SICOM3024P-2M26T-SC05-HV-HV-S от -40° до +85°. 
Характеристики
Порты
Медные порты 100 Мбит/с 
16
Оптические порты 100 Мбит/с 
8
Порты SFP+ 10G
4
Системная производительность
Стандарты: 
IEEE 802.3i, IEEE 802.3u, IEEE 802.3ab, IEEE 802.3z, IEEE 802.3x, IEEE 802.1p, IEEE 802.1Q, IEEE 802.1s 
Протоколы 
DT-Ring, DT-Ring+, MSTP
IGMP Snooping, GMRP; 
VLAN, PVLAN; 
Telnet, HTTP, HTTPS, SNMPv1/v2/v3, RMON, LLDP, DHCP server; 
SNTP, RTC;
DT-Psec, SSH, SSL, ACL;
ARP, QoS 
Пропускная способность устройства 
9.5 Mpps 
Питание
Напряжение питания 
 От 85 до264Вольт переменного тока или от 77 до 300Вольт постоянного тока 
Потребляемая мощность 
менее 30 Вт 
Механические характеристики
Размеры
482.6×44×322.5 мм 
Крепление 
19” стойка 
Класс защиты 
IP40 
Рабочая температура 
от -40 до +85С 
Температура хранения 
-40 до +85C 
Влажность 
от 5 до 95% (без конденсата) 
MTBF 
346889 часов 
Гарантия 
5 лет 
</t>
  </si>
  <si>
    <t xml:space="preserve">Описание
SICOM3024P-4GX24T-HV-HV-S - промышленные коммутаторы 2 уровня, монтируемые в 19" стойку. Устройства имеют 4 гигабитных порта и 24 порта 100 Мбит/с, которые могут быть как медными так и оптическими.
Коммутаторы крепятся в 19-дюймовую стойку (занимают 1U). Устройства соответствуют IEC61850-3, IEEE1613, EN50155, EN50121-4, NEMA TS-2 для использования в энергетике и на транспорте. Диапазон рабочих температур коммутаторов SICOM3024P-2M26T-SC05-HV-HV-S от -40° до +85°. 
Характеристики
Протоколы 
DT-Ring, DT-Ring+, MSTP
IGMP Snooping, GMRP; 
VLAN, PVLAN; 
Telnet, HTTP, HTTPS, SNMPv1/v2/v3, RMON, LLDP, DHCP server; 
SNTP, RTC;
DT-Psec, SSH, SSL, ACL;
ARP, QoS 
Пропускная способность устройства 
9.5 Mpps 
Питание
Напряжение питания 
 От 85 до264Вольт переменного тока или от 77 до 300Вольт постоянного тока 
Потребляемая мощность 
менее 30 Вт 
Механические характеристики
Размеры
482.6×44×322.5 мм 
Крепление 
19” стойка 
Класс защиты 
IP40 
Рабочая температура 
от -40 до +85С 
Температура хранения 
-40 до +85C 
Влажность 
от 5 до 95% (без конденсата) 
MTBF 
346889 часов 
Гарантия 
5 лет </t>
  </si>
  <si>
    <t xml:space="preserve">SICOM3028GPT-L2F-MB-HV-HV-S - промышленные коммутаторы с широким спектром сфер применния и модульным дизайном для простоты масштабирования и расширения функционала устройства. 
Характеристики
Протоколы 
DT-Ring, DT-Ring+, MSTP, DRP; IGMP Snooping, GMRP;
VLAN, GVRP, PVLAN;
Telnet, HTTP, HTTPS, SNMPv1/v2/v3, RMON, LLDP, Bootp, DHCP server/relay/client, DHCP Option 82;
SNTP, PTP, RTC;
SSH, SSL, TACACS+, RADIUS, ACL; 
ARP, Modbus TCP, QoS, LACP
PRP, HSR 
Длина волны 
1310нм (одномод), 1550нм (одномод), 1310 (многомод) 
Расстояние передачи 
10~80км (одномод) , до 5 км (100M многомод) , до 2 км (1000M многомод) 
Тип коннектора 
SC, ST, FC 
Питание
Напряжение питания 
Резервированное: 220VAC/VDC (77-300VDC/85-264VAC) 
Потребляемая мощность 
менее 28 Вт (при установке только медных модулей)
менее 42 Вт (при установке только оптических модулей) 
Механические характеристики
Размеры
482.6мм x 44мм x 360мм
Крепление 
19” стойка 
Класс защиты 
IP40 
Рабочая температура 
от -40 до +85С 
Температура хранения 
-40 до +85C 
Влажность 
от 5 до 95% (без конденсата) 
MTBF 
359000 часов 
Гарантия 
5 лет </t>
  </si>
  <si>
    <t xml:space="preserve">а может товар на доддоне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</si>
</sst>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409]#,##0.00"/>
  </numFmts>
  <fonts count="12" x14ac:knownFonts="1">
    <font>
      <sz val="11"/>
      <color theme="1"/>
      <name val="Calibri"/>
      <family val="2"/>
      <scheme val="minor"/>
    </font>
    <font>
      <sz val="11"/>
      <color rgb="FF333333"/>
      <name val="Tahoma"/>
      <family val="2"/>
      <charset val="204"/>
    </font>
    <font>
      <sz val="8"/>
      <name val="Calibri"/>
      <family val="2"/>
      <scheme val="minor"/>
    </font>
    <font>
      <sz val="8"/>
      <color theme="1"/>
      <name val="Calibri"/>
      <family val="2"/>
      <scheme val="minor"/>
    </font>
    <font>
      <sz val="10"/>
      <color theme="1"/>
      <name val="Arial"/>
      <family val="2"/>
      <charset val="204"/>
    </font>
    <font>
      <sz val="9"/>
      <color rgb="FF000000"/>
      <name val="Calibri"/>
      <family val="2"/>
      <charset val="204"/>
    </font>
    <font>
      <sz val="11"/>
      <color rgb="FF212529"/>
      <name val="Arial"/>
      <family val="2"/>
      <charset val="204"/>
    </font>
    <font>
      <sz val="14"/>
      <color theme="1"/>
      <name val="Calibri"/>
      <family val="2"/>
      <scheme val="minor"/>
    </font>
    <font>
      <sz val="14"/>
      <color rgb="FF333333"/>
      <name val="Tahoma"/>
      <family val="2"/>
      <charset val="204"/>
    </font>
    <font>
      <sz val="16"/>
      <color theme="1"/>
      <name val="Calibri"/>
      <family val="2"/>
      <scheme val="minor"/>
    </font>
    <font>
      <sz val="11"/>
      <color rgb="FF000000"/>
      <name val="Calibri"/>
      <family val="2"/>
      <charset val="204"/>
      <scheme val="minor"/>
    </font>
    <font>
      <sz val="10"/>
      <color rgb="FF212529"/>
      <name val="Roboto"/>
    </font>
  </fonts>
  <fills count="4">
    <fill>
      <patternFill patternType="none"/>
    </fill>
    <fill>
      <patternFill patternType="gray125"/>
    </fill>
    <fill>
      <patternFill patternType="solid">
        <fgColor theme="9" tint="0.79998168889431442"/>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32">
    <xf numFmtId="0" fontId="0" fillId="0" borderId="0" xfId="0"/>
    <xf numFmtId="2" fontId="1" fillId="0" borderId="0" xfId="0" applyNumberFormat="1" applyFont="1"/>
    <xf numFmtId="14" fontId="0" fillId="0" borderId="0" xfId="0" applyNumberFormat="1"/>
    <xf numFmtId="49" fontId="0" fillId="0" borderId="0" xfId="0" applyNumberFormat="1"/>
    <xf numFmtId="14" fontId="3" fillId="0" borderId="0" xfId="0" applyNumberFormat="1" applyFont="1"/>
    <xf numFmtId="0" fontId="0" fillId="0" borderId="0" xfId="0" applyAlignment="1">
      <alignment wrapText="1"/>
    </xf>
    <xf numFmtId="0" fontId="7" fillId="2" borderId="0" xfId="0" applyFont="1" applyFill="1" applyAlignment="1">
      <alignment horizontal="center" vertical="center"/>
    </xf>
    <xf numFmtId="2" fontId="8" fillId="2" borderId="0" xfId="0" applyNumberFormat="1" applyFont="1" applyFill="1" applyAlignment="1">
      <alignment horizontal="center" vertical="center"/>
    </xf>
    <xf numFmtId="14" fontId="8" fillId="2" borderId="0" xfId="0" applyNumberFormat="1" applyFont="1" applyFill="1" applyAlignment="1">
      <alignment horizontal="center" vertical="center"/>
    </xf>
    <xf numFmtId="2" fontId="8" fillId="2" borderId="0" xfId="0" applyNumberFormat="1" applyFont="1" applyFill="1" applyAlignment="1">
      <alignment horizontal="center" vertical="center" wrapText="1"/>
    </xf>
    <xf numFmtId="2" fontId="3" fillId="0" borderId="0" xfId="0" applyNumberFormat="1" applyFont="1"/>
    <xf numFmtId="0" fontId="0" fillId="2" borderId="0" xfId="0" applyFill="1"/>
    <xf numFmtId="14" fontId="1" fillId="0" borderId="0" xfId="0" applyNumberFormat="1" applyFont="1"/>
    <xf numFmtId="0" fontId="4" fillId="0" borderId="0" xfId="0" applyFont="1" applyAlignment="1">
      <alignment wrapText="1"/>
    </xf>
    <xf numFmtId="0" fontId="1" fillId="0" borderId="0" xfId="0" applyFont="1"/>
    <xf numFmtId="0" fontId="6" fillId="0" borderId="0" xfId="0" applyFont="1"/>
    <xf numFmtId="0" fontId="5" fillId="0" borderId="0" xfId="0" applyFont="1" applyAlignment="1">
      <alignment vertical="center"/>
    </xf>
    <xf numFmtId="164" fontId="0" fillId="0" borderId="0" xfId="0" applyNumberFormat="1"/>
    <xf numFmtId="14" fontId="8" fillId="2" borderId="0" xfId="0" applyNumberFormat="1" applyFont="1" applyFill="1" applyAlignment="1">
      <alignment horizontal="center" vertical="center" wrapText="1"/>
    </xf>
    <xf numFmtId="165" fontId="0" fillId="0" borderId="0" xfId="0" applyNumberFormat="1"/>
    <xf numFmtId="0" fontId="9" fillId="2" borderId="0" xfId="0" applyFont="1" applyFill="1" applyAlignment="1">
      <alignment vertical="center" wrapText="1"/>
    </xf>
    <xf numFmtId="165" fontId="9" fillId="2" borderId="0" xfId="0" applyNumberFormat="1" applyFont="1" applyFill="1" applyAlignment="1">
      <alignment vertical="center" wrapText="1"/>
    </xf>
    <xf numFmtId="14" fontId="9" fillId="2" borderId="0" xfId="0" applyNumberFormat="1" applyFont="1" applyFill="1" applyAlignment="1">
      <alignment vertical="center" wrapText="1"/>
    </xf>
    <xf numFmtId="164" fontId="9" fillId="2" borderId="0" xfId="0" applyNumberFormat="1" applyFont="1" applyFill="1" applyAlignment="1">
      <alignment vertical="center" wrapText="1"/>
    </xf>
    <xf numFmtId="165" fontId="7" fillId="2" borderId="0" xfId="0" applyNumberFormat="1" applyFont="1" applyFill="1" applyAlignment="1">
      <alignment horizontal="center" vertical="center"/>
    </xf>
    <xf numFmtId="165" fontId="0" fillId="2" borderId="0" xfId="0" applyNumberFormat="1" applyFill="1"/>
    <xf numFmtId="2" fontId="0" fillId="0" borderId="0" xfId="0" applyNumberFormat="1"/>
    <xf numFmtId="0" fontId="10" fillId="0" borderId="0" xfId="0" applyFont="1"/>
    <xf numFmtId="14" fontId="10" fillId="0" borderId="0" xfId="0" applyNumberFormat="1" applyFont="1"/>
    <xf numFmtId="0" fontId="0" fillId="3" borderId="0" xfId="0" applyFill="1"/>
    <xf numFmtId="0" fontId="11" fillId="0" borderId="0" xfId="0" applyFont="1"/>
    <xf numFmtId="0" fontId="0" fillId="0" borderId="0" xfId="0" applyFill="1" applyAlignment="1">
      <alignment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H968"/>
  <sheetViews>
    <sheetView tabSelected="1" workbookViewId="0">
      <pane xSplit="3" topLeftCell="Q1" activePane="topRight" state="frozen"/>
      <selection activeCell="C1" sqref="C1"/>
      <selection pane="topRight" activeCell="W176" sqref="W176"/>
    </sheetView>
  </sheetViews>
  <sheetFormatPr defaultRowHeight="15" x14ac:dyDescent="0.25"/>
  <cols>
    <col min="1" max="1" width="17.7109375" customWidth="1"/>
    <col min="2" max="2" width="12.28515625" customWidth="1"/>
    <col min="3" max="3" width="46" customWidth="1"/>
    <col min="4" max="4" width="37.7109375" style="11" customWidth="1"/>
    <col min="5" max="5" width="19" customWidth="1"/>
    <col min="6" max="6" width="18" style="19" customWidth="1"/>
    <col min="7" max="7" width="17.5703125" style="25" customWidth="1"/>
    <col min="8" max="8" width="25.7109375" style="11" customWidth="1"/>
    <col min="9" max="9" width="26.85546875" customWidth="1"/>
    <col min="10" max="10" width="15.7109375" customWidth="1"/>
    <col min="11" max="11" width="18.7109375" customWidth="1"/>
    <col min="12" max="12" width="20.5703125" customWidth="1"/>
    <col min="13" max="13" width="20.7109375" customWidth="1"/>
    <col min="14" max="14" width="20.42578125" customWidth="1"/>
    <col min="15" max="15" width="21.140625" customWidth="1"/>
    <col min="16" max="16" width="18.85546875" customWidth="1"/>
    <col min="17" max="17" width="15.85546875" customWidth="1"/>
    <col min="18" max="18" width="15.85546875" style="4" customWidth="1"/>
    <col min="19" max="19" width="15.7109375" style="4" customWidth="1"/>
    <col min="20" max="20" width="14.7109375" style="4" customWidth="1"/>
    <col min="21" max="21" width="15.7109375" style="10" customWidth="1"/>
    <col min="22" max="22" width="14.7109375" style="10" customWidth="1"/>
    <col min="23" max="23" width="16.28515625" style="26" customWidth="1"/>
    <col min="24" max="24" width="26.85546875" customWidth="1"/>
    <col min="25" max="25" width="37.85546875" customWidth="1"/>
    <col min="26" max="26" width="26.85546875" customWidth="1"/>
    <col min="27" max="27" width="38.85546875" style="2" customWidth="1"/>
    <col min="28" max="28" width="13.28515625" style="2" customWidth="1"/>
    <col min="29" max="29" width="13.7109375" style="2" customWidth="1"/>
    <col min="30" max="30" width="39.42578125" style="2" customWidth="1"/>
    <col min="31" max="31" width="15.85546875" customWidth="1"/>
    <col min="32" max="32" width="31.5703125" customWidth="1"/>
    <col min="33" max="33" width="40.7109375" customWidth="1"/>
    <col min="34" max="34" width="136.28515625" customWidth="1"/>
    <col min="37" max="37" width="8.42578125" customWidth="1"/>
  </cols>
  <sheetData>
    <row r="1" spans="1:34" s="6" customFormat="1" ht="93.75" customHeight="1" x14ac:dyDescent="0.25">
      <c r="B1" s="6" t="s">
        <v>0</v>
      </c>
      <c r="C1" s="6" t="s">
        <v>1</v>
      </c>
      <c r="D1" s="6" t="s">
        <v>79</v>
      </c>
      <c r="E1" s="6" t="s">
        <v>2</v>
      </c>
      <c r="F1" s="24" t="s">
        <v>3</v>
      </c>
      <c r="G1" s="24" t="s">
        <v>4</v>
      </c>
      <c r="H1" s="6" t="s">
        <v>5</v>
      </c>
      <c r="I1" s="9" t="s">
        <v>14</v>
      </c>
      <c r="J1" s="7" t="s">
        <v>16</v>
      </c>
      <c r="K1" s="7" t="s">
        <v>8</v>
      </c>
      <c r="L1" s="7" t="s">
        <v>9</v>
      </c>
      <c r="M1" s="7" t="s">
        <v>11</v>
      </c>
      <c r="N1" s="7" t="s">
        <v>12</v>
      </c>
      <c r="O1" s="7" t="s">
        <v>24</v>
      </c>
      <c r="P1" s="7" t="s">
        <v>43</v>
      </c>
      <c r="Q1" s="7" t="s">
        <v>6</v>
      </c>
      <c r="R1" s="8" t="s">
        <v>7</v>
      </c>
      <c r="S1" s="8" t="s">
        <v>21</v>
      </c>
      <c r="T1" s="8" t="s">
        <v>22</v>
      </c>
      <c r="U1" s="9" t="s">
        <v>84</v>
      </c>
      <c r="V1" s="9" t="s">
        <v>265</v>
      </c>
      <c r="W1" s="9" t="s">
        <v>83</v>
      </c>
      <c r="X1" s="7" t="s">
        <v>35</v>
      </c>
      <c r="Y1" s="7" t="s">
        <v>36</v>
      </c>
      <c r="Z1" s="7" t="s">
        <v>43</v>
      </c>
      <c r="AA1" s="18" t="s">
        <v>37</v>
      </c>
      <c r="AB1" s="18" t="s">
        <v>38</v>
      </c>
      <c r="AC1" s="18" t="s">
        <v>39</v>
      </c>
      <c r="AD1" s="18" t="s">
        <v>40</v>
      </c>
      <c r="AE1" s="9" t="s">
        <v>58</v>
      </c>
      <c r="AF1" s="7" t="s">
        <v>59</v>
      </c>
      <c r="AG1" s="7" t="s">
        <v>222</v>
      </c>
      <c r="AH1" s="6" t="s">
        <v>148</v>
      </c>
    </row>
    <row r="2" spans="1:34" ht="37.5" hidden="1" customHeight="1" x14ac:dyDescent="0.25">
      <c r="B2">
        <f>VLOOKUP(C2,Лист1!$B$1:$N$33,2,0)</f>
        <v>8517620003</v>
      </c>
      <c r="C2" t="s">
        <v>23</v>
      </c>
      <c r="D2" t="str">
        <f>VLOOKUP(C2,Лист1!$B$2:$T$45,14,0)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ПЛАСТИКОВЫМИ ЗАГЛУШКАМИ ДЛЯ ПОРТОВ, МЕТАЛЛИЧЕСКИМИ УГОЛКАМИ И ПЛАСТИНАМИ ДЛЯ КРЕПЛЕНИЯ</v>
      </c>
      <c r="E2">
        <v>29</v>
      </c>
      <c r="F2" s="19">
        <v>60</v>
      </c>
      <c r="G2" s="19">
        <f t="shared" ref="G2:G7" si="0">E2*F2</f>
        <v>1740</v>
      </c>
      <c r="H2" t="s">
        <v>17</v>
      </c>
      <c r="I2" t="s">
        <v>15</v>
      </c>
      <c r="J2" t="s">
        <v>18</v>
      </c>
      <c r="K2">
        <v>156</v>
      </c>
      <c r="L2" t="s">
        <v>10</v>
      </c>
      <c r="M2" t="s">
        <v>19</v>
      </c>
      <c r="N2" t="s">
        <v>13</v>
      </c>
      <c r="O2" t="s">
        <v>82</v>
      </c>
      <c r="P2">
        <v>10052</v>
      </c>
      <c r="Q2" t="s">
        <v>20</v>
      </c>
      <c r="R2" s="2">
        <v>42972</v>
      </c>
      <c r="S2" s="2">
        <v>42972</v>
      </c>
      <c r="T2" s="2">
        <v>44369</v>
      </c>
      <c r="U2" s="2"/>
      <c r="V2" s="2"/>
      <c r="W2" t="e">
        <f>#REF!*E2</f>
        <v>#REF!</v>
      </c>
      <c r="X2">
        <v>47.4</v>
      </c>
      <c r="Z2" s="3" t="s">
        <v>48</v>
      </c>
      <c r="AE2" t="s">
        <v>10</v>
      </c>
      <c r="AF2" t="s">
        <v>103</v>
      </c>
      <c r="AG2" t="s">
        <v>224</v>
      </c>
    </row>
    <row r="3" spans="1:34" hidden="1" x14ac:dyDescent="0.25">
      <c r="B3">
        <f>VLOOKUP(C3,Лист1!$B$1:$N$33,2,0)</f>
        <v>8517620003</v>
      </c>
      <c r="C3" t="s">
        <v>25</v>
      </c>
      <c r="D3" t="str">
        <f>VLOOKUP(C3,Лист1!$B$2:$T$45,14,0)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3">
        <v>2</v>
      </c>
      <c r="F3" s="19">
        <v>1716.9</v>
      </c>
      <c r="G3" s="19">
        <f t="shared" si="0"/>
        <v>3433.8</v>
      </c>
      <c r="H3" t="s">
        <v>29</v>
      </c>
      <c r="I3" t="s">
        <v>15</v>
      </c>
      <c r="J3" t="s">
        <v>18</v>
      </c>
      <c r="K3">
        <v>156</v>
      </c>
      <c r="L3" t="s">
        <v>10</v>
      </c>
      <c r="M3" t="s">
        <v>19</v>
      </c>
      <c r="N3" t="s">
        <v>13</v>
      </c>
      <c r="O3" t="s">
        <v>82</v>
      </c>
      <c r="P3">
        <v>10052</v>
      </c>
      <c r="Q3" t="s">
        <v>34</v>
      </c>
      <c r="R3" s="2">
        <v>42972</v>
      </c>
      <c r="S3" s="2">
        <v>42972</v>
      </c>
      <c r="T3" s="2">
        <v>44369</v>
      </c>
      <c r="U3" s="2"/>
      <c r="V3" s="2"/>
      <c r="W3" t="e">
        <f>#REF!*E3</f>
        <v>#REF!</v>
      </c>
      <c r="X3" s="1" t="e">
        <f>W3+W3*0.094</f>
        <v>#REF!</v>
      </c>
      <c r="Y3" s="1" t="s">
        <v>41</v>
      </c>
      <c r="Z3" s="3" t="s">
        <v>48</v>
      </c>
      <c r="AA3" s="12" t="s">
        <v>42</v>
      </c>
      <c r="AB3" s="2">
        <v>43908</v>
      </c>
      <c r="AC3" s="2">
        <v>43908</v>
      </c>
      <c r="AD3" s="2">
        <v>45733</v>
      </c>
      <c r="AE3" t="s">
        <v>10</v>
      </c>
      <c r="AF3" t="s">
        <v>104</v>
      </c>
      <c r="AG3" t="s">
        <v>224</v>
      </c>
    </row>
    <row r="4" spans="1:34" hidden="1" x14ac:dyDescent="0.25">
      <c r="B4">
        <f>VLOOKUP(C4,Лист1!$B$1:$N$33,2,0)</f>
        <v>8517620003</v>
      </c>
      <c r="C4" t="s">
        <v>26</v>
      </c>
      <c r="D4" t="str">
        <f>VLOOKUP(C4,Лист1!$B$2:$T$45,14,0)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4">
        <v>2</v>
      </c>
      <c r="F4" s="19">
        <v>198.4</v>
      </c>
      <c r="G4" s="19">
        <f t="shared" si="0"/>
        <v>396.8</v>
      </c>
      <c r="H4" t="s">
        <v>30</v>
      </c>
      <c r="I4" t="s">
        <v>15</v>
      </c>
      <c r="J4" t="s">
        <v>18</v>
      </c>
      <c r="K4">
        <v>156</v>
      </c>
      <c r="L4" t="s">
        <v>10</v>
      </c>
      <c r="M4" t="s">
        <v>19</v>
      </c>
      <c r="N4" t="s">
        <v>13</v>
      </c>
      <c r="O4" t="s">
        <v>82</v>
      </c>
      <c r="P4">
        <v>10052</v>
      </c>
      <c r="Q4" t="s">
        <v>33</v>
      </c>
      <c r="R4" s="2">
        <v>42958</v>
      </c>
      <c r="S4" s="2">
        <v>42958</v>
      </c>
      <c r="T4" s="2">
        <v>44369</v>
      </c>
      <c r="U4" s="2"/>
      <c r="V4" s="2"/>
      <c r="W4" t="e">
        <f>#REF!*E4</f>
        <v>#REF!</v>
      </c>
      <c r="X4" s="1" t="e">
        <f>W4+W4*0.094</f>
        <v>#REF!</v>
      </c>
      <c r="Y4" s="1" t="s">
        <v>41</v>
      </c>
      <c r="Z4" s="3" t="s">
        <v>48</v>
      </c>
      <c r="AE4" t="s">
        <v>10</v>
      </c>
      <c r="AF4" t="s">
        <v>104</v>
      </c>
      <c r="AG4" t="s">
        <v>224</v>
      </c>
    </row>
    <row r="5" spans="1:34" hidden="1" x14ac:dyDescent="0.25">
      <c r="B5">
        <f>VLOOKUP(C5,Лист1!$B$1:$N$33,2,0)</f>
        <v>8517620003</v>
      </c>
      <c r="C5" t="s">
        <v>27</v>
      </c>
      <c r="D5" t="str">
        <f>VLOOKUP(C5,Лист1!$B$2:$T$45,14,0)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5">
        <v>2</v>
      </c>
      <c r="F5" s="19">
        <v>198.4</v>
      </c>
      <c r="G5" s="19">
        <f t="shared" si="0"/>
        <v>396.8</v>
      </c>
      <c r="H5" t="s">
        <v>32</v>
      </c>
      <c r="I5" t="s">
        <v>15</v>
      </c>
      <c r="J5" t="s">
        <v>18</v>
      </c>
      <c r="K5">
        <v>156</v>
      </c>
      <c r="L5" t="s">
        <v>10</v>
      </c>
      <c r="M5" t="s">
        <v>19</v>
      </c>
      <c r="N5" t="s">
        <v>13</v>
      </c>
      <c r="O5" t="s">
        <v>82</v>
      </c>
      <c r="P5">
        <v>10052</v>
      </c>
      <c r="Q5" t="s">
        <v>33</v>
      </c>
      <c r="R5" s="2">
        <v>42958</v>
      </c>
      <c r="S5" s="2">
        <v>42958</v>
      </c>
      <c r="T5" s="2">
        <v>44369</v>
      </c>
      <c r="U5" s="2"/>
      <c r="V5" s="2"/>
      <c r="W5" t="e">
        <f>#REF!*E5</f>
        <v>#REF!</v>
      </c>
      <c r="X5" s="1" t="e">
        <f>W5+W5*0.094</f>
        <v>#REF!</v>
      </c>
      <c r="Y5" s="1" t="s">
        <v>41</v>
      </c>
      <c r="Z5" s="3" t="s">
        <v>48</v>
      </c>
      <c r="AE5" t="s">
        <v>10</v>
      </c>
      <c r="AF5" t="s">
        <v>104</v>
      </c>
      <c r="AG5" t="s">
        <v>224</v>
      </c>
    </row>
    <row r="6" spans="1:34" ht="25.5" hidden="1" customHeight="1" x14ac:dyDescent="0.25">
      <c r="B6">
        <f>VLOOKUP(C6,Лист1!$B$1:$N$33,2,0)</f>
        <v>8517620003</v>
      </c>
      <c r="C6" t="s">
        <v>28</v>
      </c>
      <c r="D6" t="str">
        <f>VLOOKUP(C6,Лист1!$B$2:$T$45,14,0)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6">
        <v>10</v>
      </c>
      <c r="F6" s="19">
        <v>198.4</v>
      </c>
      <c r="G6" s="19">
        <f t="shared" si="0"/>
        <v>1984</v>
      </c>
      <c r="H6" s="5" t="s">
        <v>31</v>
      </c>
      <c r="I6" t="s">
        <v>15</v>
      </c>
      <c r="J6" t="s">
        <v>18</v>
      </c>
      <c r="K6">
        <v>156</v>
      </c>
      <c r="L6" t="s">
        <v>10</v>
      </c>
      <c r="M6" t="s">
        <v>19</v>
      </c>
      <c r="N6" t="s">
        <v>13</v>
      </c>
      <c r="O6" t="s">
        <v>82</v>
      </c>
      <c r="P6">
        <v>10052</v>
      </c>
      <c r="Q6" t="s">
        <v>33</v>
      </c>
      <c r="R6" s="2">
        <v>42958</v>
      </c>
      <c r="S6" s="2">
        <v>42958</v>
      </c>
      <c r="T6" s="2">
        <v>44369</v>
      </c>
      <c r="U6" s="2"/>
      <c r="V6" s="2"/>
      <c r="W6" t="e">
        <f>#REF!*E6</f>
        <v>#REF!</v>
      </c>
      <c r="X6" s="1" t="e">
        <f>W6+W6*0.094</f>
        <v>#REF!</v>
      </c>
      <c r="Y6" s="1" t="s">
        <v>41</v>
      </c>
      <c r="Z6" s="3" t="s">
        <v>48</v>
      </c>
      <c r="AE6" t="s">
        <v>10</v>
      </c>
      <c r="AF6" t="s">
        <v>104</v>
      </c>
      <c r="AG6" t="s">
        <v>224</v>
      </c>
    </row>
    <row r="7" spans="1:34" ht="18" hidden="1" customHeight="1" x14ac:dyDescent="0.25">
      <c r="B7">
        <f>VLOOKUP(C7,Лист1!$B$1:$N$33,2,0)</f>
        <v>8517620003</v>
      </c>
      <c r="C7" t="s">
        <v>44</v>
      </c>
      <c r="D7" t="str">
        <f>VLOOKUP(C7,Лист1!$B$2:$T$45,14,0)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7">
        <v>4</v>
      </c>
      <c r="F7" s="19">
        <v>894</v>
      </c>
      <c r="G7" s="19">
        <f t="shared" si="0"/>
        <v>3576</v>
      </c>
      <c r="H7" s="13" t="s">
        <v>45</v>
      </c>
      <c r="I7" t="s">
        <v>15</v>
      </c>
      <c r="J7" t="s">
        <v>18</v>
      </c>
      <c r="K7">
        <v>156</v>
      </c>
      <c r="L7" t="s">
        <v>10</v>
      </c>
      <c r="M7" t="s">
        <v>19</v>
      </c>
      <c r="N7" t="s">
        <v>13</v>
      </c>
      <c r="O7" t="s">
        <v>82</v>
      </c>
      <c r="P7">
        <v>10052</v>
      </c>
      <c r="Q7" s="14" t="s">
        <v>46</v>
      </c>
      <c r="R7" s="4">
        <v>42972</v>
      </c>
      <c r="S7" s="4">
        <v>42972</v>
      </c>
      <c r="T7" s="4">
        <v>44370</v>
      </c>
      <c r="U7" s="4"/>
      <c r="V7" s="4"/>
      <c r="W7" t="e">
        <f>#REF!*E7</f>
        <v>#REF!</v>
      </c>
      <c r="X7" s="1" t="e">
        <f>W7+W7*0.094</f>
        <v>#REF!</v>
      </c>
      <c r="Y7" s="1" t="s">
        <v>41</v>
      </c>
      <c r="Z7" s="3" t="s">
        <v>48</v>
      </c>
      <c r="AA7" s="12" t="s">
        <v>47</v>
      </c>
      <c r="AB7" s="2">
        <v>43787</v>
      </c>
      <c r="AC7" s="2">
        <v>43787</v>
      </c>
      <c r="AD7" s="2">
        <v>45613</v>
      </c>
      <c r="AE7" t="s">
        <v>10</v>
      </c>
      <c r="AF7" t="s">
        <v>105</v>
      </c>
      <c r="AG7" t="s">
        <v>224</v>
      </c>
    </row>
    <row r="8" spans="1:34" ht="33" hidden="1" customHeight="1" x14ac:dyDescent="0.25">
      <c r="A8" s="2">
        <v>43998</v>
      </c>
      <c r="B8" t="e">
        <f>VLOOKUP(C8,Лист1!$B$1:$N$33,2,0)</f>
        <v>#N/A</v>
      </c>
      <c r="C8" t="s">
        <v>49</v>
      </c>
      <c r="D8" t="e">
        <f>VLOOKUP(C8,Лист1!$B$2:$T$45,14,0)</f>
        <v>#N/A</v>
      </c>
      <c r="E8">
        <v>1</v>
      </c>
      <c r="F8" s="19">
        <v>868</v>
      </c>
      <c r="G8" s="19">
        <f>F8*E8</f>
        <v>868</v>
      </c>
      <c r="H8" s="5" t="s">
        <v>53</v>
      </c>
      <c r="I8" t="s">
        <v>15</v>
      </c>
      <c r="J8" t="s">
        <v>18</v>
      </c>
      <c r="K8">
        <v>156</v>
      </c>
      <c r="L8" t="s">
        <v>10</v>
      </c>
      <c r="M8" t="s">
        <v>19</v>
      </c>
      <c r="N8" t="s">
        <v>13</v>
      </c>
      <c r="O8" t="s">
        <v>82</v>
      </c>
      <c r="P8">
        <v>10052</v>
      </c>
      <c r="Q8" s="14" t="s">
        <v>34</v>
      </c>
      <c r="R8" s="4">
        <v>42972</v>
      </c>
      <c r="S8" s="4">
        <v>42972</v>
      </c>
      <c r="T8" s="4">
        <v>44369</v>
      </c>
      <c r="U8" s="4"/>
      <c r="V8" s="4"/>
      <c r="W8" t="e">
        <f>#REF!*E8</f>
        <v>#REF!</v>
      </c>
      <c r="X8" s="1">
        <v>8.9499999999999993</v>
      </c>
      <c r="Y8" s="1" t="s">
        <v>41</v>
      </c>
      <c r="Z8" s="3" t="s">
        <v>48</v>
      </c>
      <c r="AA8" s="15" t="s">
        <v>42</v>
      </c>
      <c r="AB8" s="2">
        <v>43908</v>
      </c>
      <c r="AC8" s="2">
        <v>43908</v>
      </c>
      <c r="AD8" s="2">
        <v>45733</v>
      </c>
      <c r="AE8" t="s">
        <v>10</v>
      </c>
      <c r="AF8" t="s">
        <v>60</v>
      </c>
      <c r="AG8" t="s">
        <v>224</v>
      </c>
    </row>
    <row r="9" spans="1:34" ht="29.25" hidden="1" customHeight="1" x14ac:dyDescent="0.25">
      <c r="A9" s="2">
        <v>43998</v>
      </c>
      <c r="B9">
        <f>VLOOKUP(C9,Лист1!$B$1:$N$33,2,0)</f>
        <v>8517620003</v>
      </c>
      <c r="C9" t="s">
        <v>50</v>
      </c>
      <c r="D9" t="str">
        <f>VLOOKUP(C9,Лист1!$B$2:$T$45,14,0)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9">
        <v>1</v>
      </c>
      <c r="F9" s="19">
        <v>198</v>
      </c>
      <c r="G9" s="19">
        <f t="shared" ref="G9:G64" si="1">F9*E9</f>
        <v>198</v>
      </c>
      <c r="H9" s="5" t="s">
        <v>54</v>
      </c>
      <c r="I9" t="s">
        <v>15</v>
      </c>
      <c r="J9" t="s">
        <v>18</v>
      </c>
      <c r="K9">
        <v>156</v>
      </c>
      <c r="L9" t="s">
        <v>10</v>
      </c>
      <c r="M9" t="s">
        <v>19</v>
      </c>
      <c r="N9" t="s">
        <v>13</v>
      </c>
      <c r="O9" t="s">
        <v>82</v>
      </c>
      <c r="P9">
        <v>10052</v>
      </c>
      <c r="Q9" s="14" t="s">
        <v>33</v>
      </c>
      <c r="R9" s="4">
        <v>42958</v>
      </c>
      <c r="S9" s="4">
        <v>42958</v>
      </c>
      <c r="T9" s="4">
        <v>44369</v>
      </c>
      <c r="U9" s="4"/>
      <c r="V9" s="4"/>
      <c r="W9" t="e">
        <f>#REF!*E9</f>
        <v>#REF!</v>
      </c>
      <c r="X9">
        <v>0.35</v>
      </c>
      <c r="Y9" s="1" t="s">
        <v>41</v>
      </c>
      <c r="Z9" s="3" t="s">
        <v>48</v>
      </c>
      <c r="AA9"/>
      <c r="AB9"/>
      <c r="AC9"/>
      <c r="AD9"/>
      <c r="AE9" t="s">
        <v>10</v>
      </c>
      <c r="AF9" t="s">
        <v>60</v>
      </c>
      <c r="AG9" t="s">
        <v>224</v>
      </c>
    </row>
    <row r="10" spans="1:34" ht="18" hidden="1" customHeight="1" x14ac:dyDescent="0.25">
      <c r="A10" s="2">
        <v>43998</v>
      </c>
      <c r="B10">
        <f>VLOOKUP(C10,Лист1!$B$1:$N$33,2,0)</f>
        <v>8517620003</v>
      </c>
      <c r="C10" t="s">
        <v>51</v>
      </c>
      <c r="D10" t="str">
        <f>VLOOKUP(C10,Лист1!$B$2:$T$45,14,0)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10">
        <v>2</v>
      </c>
      <c r="F10" s="19">
        <v>264</v>
      </c>
      <c r="G10" s="19">
        <f t="shared" si="1"/>
        <v>528</v>
      </c>
      <c r="H10" s="5" t="s">
        <v>55</v>
      </c>
      <c r="I10" t="s">
        <v>15</v>
      </c>
      <c r="J10" t="s">
        <v>18</v>
      </c>
      <c r="K10">
        <v>156</v>
      </c>
      <c r="L10" t="s">
        <v>10</v>
      </c>
      <c r="M10" t="s">
        <v>19</v>
      </c>
      <c r="N10" t="s">
        <v>13</v>
      </c>
      <c r="O10" t="s">
        <v>82</v>
      </c>
      <c r="P10">
        <v>10052</v>
      </c>
      <c r="Q10" s="14" t="s">
        <v>33</v>
      </c>
      <c r="R10" s="4">
        <v>42958</v>
      </c>
      <c r="S10" s="4">
        <v>42958</v>
      </c>
      <c r="T10" s="4">
        <v>44369</v>
      </c>
      <c r="U10" s="4"/>
      <c r="V10" s="4"/>
      <c r="W10" t="e">
        <f>#REF!*E10</f>
        <v>#REF!</v>
      </c>
      <c r="X10">
        <v>0.7</v>
      </c>
      <c r="Y10" s="1" t="s">
        <v>41</v>
      </c>
      <c r="Z10" s="3" t="s">
        <v>48</v>
      </c>
      <c r="AA10"/>
      <c r="AB10"/>
      <c r="AC10"/>
      <c r="AD10"/>
      <c r="AE10" t="s">
        <v>10</v>
      </c>
      <c r="AF10" t="s">
        <v>60</v>
      </c>
      <c r="AG10" t="s">
        <v>224</v>
      </c>
    </row>
    <row r="11" spans="1:34" ht="12" hidden="1" customHeight="1" x14ac:dyDescent="0.25">
      <c r="A11" s="2">
        <v>43998</v>
      </c>
      <c r="B11">
        <f>VLOOKUP(C11,Лист1!$B$1:$N$33,2,0)</f>
        <v>8517620003</v>
      </c>
      <c r="C11" t="s">
        <v>52</v>
      </c>
      <c r="D11" t="str">
        <f>VLOOKUP(C11,Лист1!$B$2:$T$45,14,0)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11">
        <v>11</v>
      </c>
      <c r="F11" s="19">
        <v>229.5</v>
      </c>
      <c r="G11" s="19">
        <f t="shared" si="1"/>
        <v>2524.5</v>
      </c>
      <c r="H11" s="16" t="s">
        <v>56</v>
      </c>
      <c r="I11" t="s">
        <v>15</v>
      </c>
      <c r="J11" t="s">
        <v>18</v>
      </c>
      <c r="K11">
        <v>156</v>
      </c>
      <c r="L11" t="s">
        <v>10</v>
      </c>
      <c r="M11" t="s">
        <v>19</v>
      </c>
      <c r="N11" t="s">
        <v>13</v>
      </c>
      <c r="O11" t="s">
        <v>82</v>
      </c>
      <c r="P11">
        <v>10052</v>
      </c>
      <c r="Q11" s="14" t="s">
        <v>57</v>
      </c>
      <c r="R11" s="4">
        <v>42972</v>
      </c>
      <c r="S11" s="4">
        <v>42972</v>
      </c>
      <c r="T11" s="4">
        <v>44369</v>
      </c>
      <c r="U11" s="4"/>
      <c r="V11" s="4"/>
      <c r="W11" t="e">
        <f>#REF!*E11</f>
        <v>#REF!</v>
      </c>
      <c r="X11">
        <v>18</v>
      </c>
      <c r="Y11" s="1" t="s">
        <v>41</v>
      </c>
      <c r="Z11" s="3"/>
      <c r="AA11" s="1" t="s">
        <v>47</v>
      </c>
      <c r="AB11" s="2">
        <v>43787</v>
      </c>
      <c r="AC11" s="2">
        <v>43787</v>
      </c>
      <c r="AD11" s="2">
        <v>45613</v>
      </c>
      <c r="AE11" t="s">
        <v>10</v>
      </c>
      <c r="AF11" t="s">
        <v>60</v>
      </c>
      <c r="AG11" t="s">
        <v>224</v>
      </c>
    </row>
    <row r="12" spans="1:34" ht="17.25" hidden="1" customHeight="1" x14ac:dyDescent="0.25">
      <c r="A12" s="2">
        <v>44063</v>
      </c>
      <c r="B12">
        <f>VLOOKUP(C12,Лист1!$B$1:$N$33,2,0)</f>
        <v>8517620003</v>
      </c>
      <c r="C12" t="s">
        <v>72</v>
      </c>
      <c r="D12" t="str">
        <f>VLOOKUP(C12,Лист1!$B$2:$T$45,14,0)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12">
        <v>1</v>
      </c>
      <c r="F12" s="19">
        <v>638</v>
      </c>
      <c r="G12" s="19">
        <f t="shared" si="1"/>
        <v>638</v>
      </c>
      <c r="H12" t="str">
        <f>VLOOKUP(C12,Лист1!$B$1:$N$33,4,0)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12" t="s">
        <v>15</v>
      </c>
      <c r="J12" t="s">
        <v>18</v>
      </c>
      <c r="K12">
        <v>156</v>
      </c>
      <c r="L12" t="s">
        <v>10</v>
      </c>
      <c r="M12" t="s">
        <v>19</v>
      </c>
      <c r="N12" t="s">
        <v>13</v>
      </c>
      <c r="O12" t="s">
        <v>82</v>
      </c>
      <c r="P12">
        <v>10052</v>
      </c>
      <c r="Q12" t="str">
        <f>VLOOKUP(C12,Лист1!$B$1:$N$33,5,0)</f>
        <v>RU0000033119</v>
      </c>
      <c r="R12" s="4">
        <f>VLOOKUP(C12,Лист1!$B$1:$N$33,6,0)</f>
        <v>42972</v>
      </c>
      <c r="S12" s="4">
        <f>VLOOKUP(C12,Лист1!$B$1:$N$33,7,0)</f>
        <v>42972</v>
      </c>
      <c r="T12" s="4">
        <f>VLOOKUP(C12,Лист1!$B$1:$N$33,8,0)</f>
        <v>44369</v>
      </c>
      <c r="U12" s="10">
        <f>VLOOKUP(C12,Лист1!$B$1:$N$33,9,0)</f>
        <v>1.25</v>
      </c>
      <c r="V12" s="10">
        <f>U12*E12</f>
        <v>1.25</v>
      </c>
      <c r="W12">
        <v>1.8</v>
      </c>
      <c r="X12" s="1">
        <f>W12+W12*0.078</f>
        <v>1.9404000000000001</v>
      </c>
      <c r="Y12" s="1" t="s">
        <v>41</v>
      </c>
      <c r="Z12" s="2"/>
      <c r="AE12" t="s">
        <v>10</v>
      </c>
      <c r="AF12" t="s">
        <v>86</v>
      </c>
      <c r="AG12" t="s">
        <v>224</v>
      </c>
    </row>
    <row r="13" spans="1:34" hidden="1" x14ac:dyDescent="0.25">
      <c r="A13" s="2">
        <v>44063</v>
      </c>
      <c r="B13">
        <f>VLOOKUP(C13,Лист1!$B$1:$N$33,2,0)</f>
        <v>8517620003</v>
      </c>
      <c r="C13" t="s">
        <v>73</v>
      </c>
      <c r="D13" t="str">
        <f>VLOOKUP(C13,Лист1!$B$2:$T$45,14,0)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13">
        <v>1</v>
      </c>
      <c r="F13" s="19">
        <v>291</v>
      </c>
      <c r="G13" s="19">
        <f t="shared" si="1"/>
        <v>291</v>
      </c>
      <c r="H13" t="str">
        <f>VLOOKUP(C13,Лист1!$B$1:$N$33,4,0)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13" t="s">
        <v>15</v>
      </c>
      <c r="J13" t="s">
        <v>18</v>
      </c>
      <c r="K13">
        <v>156</v>
      </c>
      <c r="L13" t="s">
        <v>10</v>
      </c>
      <c r="M13" t="s">
        <v>19</v>
      </c>
      <c r="N13" t="s">
        <v>13</v>
      </c>
      <c r="O13" t="s">
        <v>82</v>
      </c>
      <c r="P13">
        <v>10052</v>
      </c>
      <c r="Q13" t="str">
        <f>VLOOKUP(C13,Лист1!$B$1:$N$33,5,0)</f>
        <v>RU0000033119</v>
      </c>
      <c r="R13" s="4">
        <f>VLOOKUP(C13,Лист1!$B$1:$N$33,6,0)</f>
        <v>42972</v>
      </c>
      <c r="S13" s="4">
        <f>VLOOKUP(C13,Лист1!$B$1:$N$33,7,0)</f>
        <v>42972</v>
      </c>
      <c r="T13" s="4">
        <f>VLOOKUP(C13,Лист1!$B$1:$N$33,8,0)</f>
        <v>44369</v>
      </c>
      <c r="U13" s="10">
        <v>0.69</v>
      </c>
      <c r="V13" s="10">
        <f t="shared" ref="V13:V56" si="2">U13*E13</f>
        <v>0.69</v>
      </c>
      <c r="W13">
        <v>1</v>
      </c>
      <c r="X13" s="1">
        <f t="shared" ref="X13:X19" si="3">W13+W13*0.078</f>
        <v>1.0780000000000001</v>
      </c>
      <c r="Y13" s="1" t="s">
        <v>41</v>
      </c>
      <c r="Z13" s="2"/>
      <c r="AE13" t="s">
        <v>10</v>
      </c>
      <c r="AF13" t="s">
        <v>86</v>
      </c>
      <c r="AG13" t="s">
        <v>224</v>
      </c>
    </row>
    <row r="14" spans="1:34" hidden="1" x14ac:dyDescent="0.25">
      <c r="A14" s="2">
        <v>44063</v>
      </c>
      <c r="B14">
        <f>VLOOKUP(C14,Лист1!$B$1:$N$33,2,0)</f>
        <v>8517620003</v>
      </c>
      <c r="C14" t="s">
        <v>25</v>
      </c>
      <c r="D14" t="str">
        <f>VLOOKUP(C14,Лист1!$B$2:$T$45,14,0)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14">
        <v>2</v>
      </c>
      <c r="F14" s="19">
        <v>1368</v>
      </c>
      <c r="G14" s="19">
        <f t="shared" si="1"/>
        <v>2736</v>
      </c>
      <c r="H14" t="str">
        <f>VLOOKUP(C14,Лист1!$B$1:$N$33,4,0)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14" t="s">
        <v>15</v>
      </c>
      <c r="J14" t="s">
        <v>18</v>
      </c>
      <c r="K14">
        <v>156</v>
      </c>
      <c r="L14" t="s">
        <v>10</v>
      </c>
      <c r="M14" t="s">
        <v>19</v>
      </c>
      <c r="N14" t="s">
        <v>13</v>
      </c>
      <c r="O14" t="s">
        <v>82</v>
      </c>
      <c r="P14">
        <v>10052</v>
      </c>
      <c r="Q14" t="str">
        <f>VLOOKUP(C14,Лист1!$B$1:$N$33,5,0)</f>
        <v>RU0000053245</v>
      </c>
      <c r="R14" s="4">
        <f>VLOOKUP(C14,Лист1!$B$1:$N$33,6,0)</f>
        <v>44383</v>
      </c>
      <c r="S14" s="4">
        <f>VLOOKUP(C14,Лист1!$B$1:$N$33,7,0)</f>
        <v>44383</v>
      </c>
      <c r="T14" s="4">
        <f>VLOOKUP(C14,Лист1!$B$1:$N$33,8,0)</f>
        <v>48213</v>
      </c>
      <c r="U14" s="10">
        <f>VLOOKUP(C14,Лист1!$B$1:$N$33,9,0)</f>
        <v>10</v>
      </c>
      <c r="V14" s="10">
        <f t="shared" si="2"/>
        <v>20</v>
      </c>
      <c r="W14">
        <v>15</v>
      </c>
      <c r="X14" s="1">
        <f t="shared" si="3"/>
        <v>16.170000000000002</v>
      </c>
      <c r="Y14" s="1" t="s">
        <v>41</v>
      </c>
      <c r="Z14" s="3" t="s">
        <v>48</v>
      </c>
      <c r="AA14" s="2" t="str">
        <f>VLOOKUP(C14,Лист1!$B$1:$N$33,10,0)</f>
        <v>ЕАЭС N RU Д-CN.КА01.В.23216/20</v>
      </c>
      <c r="AB14" s="2">
        <f>VLOOKUP(C14,Лист1!$B$1:$N$33,11,0)</f>
        <v>43908</v>
      </c>
      <c r="AC14" s="2">
        <f>VLOOKUP(C14,Лист1!$B$1:$N$33,12,0)</f>
        <v>43908</v>
      </c>
      <c r="AD14" s="2">
        <f>VLOOKUP(C14,Лист1!$B$1:$N$33,13,0)</f>
        <v>45733</v>
      </c>
      <c r="AE14" t="s">
        <v>10</v>
      </c>
      <c r="AF14" t="s">
        <v>86</v>
      </c>
      <c r="AG14" t="s">
        <v>224</v>
      </c>
    </row>
    <row r="15" spans="1:34" hidden="1" x14ac:dyDescent="0.25">
      <c r="A15" s="2">
        <v>44063</v>
      </c>
      <c r="B15">
        <f>VLOOKUP(C15,Лист1!$B$1:$N$33,2,0)</f>
        <v>8517620003</v>
      </c>
      <c r="C15" t="s">
        <v>74</v>
      </c>
      <c r="D15" t="str">
        <f>VLOOKUP(C15,Лист1!$B$2:$T$45,14,0)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15">
        <v>2</v>
      </c>
      <c r="F15" s="19">
        <v>198</v>
      </c>
      <c r="G15" s="19">
        <f t="shared" si="1"/>
        <v>396</v>
      </c>
      <c r="H15" t="str">
        <f>VLOOKUP(C15,Лист1!$B$1:$N$33,4,0)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15" t="s">
        <v>15</v>
      </c>
      <c r="J15" t="s">
        <v>18</v>
      </c>
      <c r="K15">
        <v>156</v>
      </c>
      <c r="L15" t="s">
        <v>10</v>
      </c>
      <c r="M15" t="s">
        <v>19</v>
      </c>
      <c r="N15" t="s">
        <v>13</v>
      </c>
      <c r="O15" t="s">
        <v>82</v>
      </c>
      <c r="P15">
        <v>10052</v>
      </c>
      <c r="Q15" t="str">
        <f>VLOOKUP(C15,Лист1!$B$1:$N$33,5,0)</f>
        <v>RU0000053828</v>
      </c>
      <c r="R15" s="4">
        <f>VLOOKUP(C15,Лист1!$B$1:$N$33,6,0)</f>
        <v>44431</v>
      </c>
      <c r="S15" s="4">
        <f>VLOOKUP(C15,Лист1!$B$1:$N$33,7,0)</f>
        <v>44431</v>
      </c>
      <c r="T15" s="4">
        <f>VLOOKUP(C15,Лист1!$B$1:$N$33,8,0)</f>
        <v>48213</v>
      </c>
      <c r="U15" s="10">
        <v>0.27500000000000002</v>
      </c>
      <c r="V15" s="10">
        <f t="shared" si="2"/>
        <v>0.55000000000000004</v>
      </c>
      <c r="W15">
        <v>0.6</v>
      </c>
      <c r="X15" s="1">
        <f t="shared" si="3"/>
        <v>0.64679999999999993</v>
      </c>
      <c r="Y15" s="1" t="s">
        <v>41</v>
      </c>
      <c r="Z15" s="1"/>
      <c r="AA15" s="1"/>
      <c r="AB15" s="1"/>
      <c r="AC15" s="1"/>
      <c r="AD15" s="1"/>
      <c r="AE15" t="s">
        <v>10</v>
      </c>
      <c r="AF15" t="s">
        <v>86</v>
      </c>
      <c r="AG15" t="s">
        <v>224</v>
      </c>
    </row>
    <row r="16" spans="1:34" hidden="1" x14ac:dyDescent="0.25">
      <c r="A16" s="2">
        <v>44063</v>
      </c>
      <c r="B16">
        <f>VLOOKUP(C16,Лист1!$B$1:$N$33,2,0)</f>
        <v>8517620003</v>
      </c>
      <c r="C16" t="s">
        <v>28</v>
      </c>
      <c r="D16" t="str">
        <f>VLOOKUP(C16,Лист1!$B$2:$T$45,14,0)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16">
        <v>8</v>
      </c>
      <c r="F16" s="19">
        <v>198</v>
      </c>
      <c r="G16" s="19">
        <f t="shared" si="1"/>
        <v>1584</v>
      </c>
      <c r="H16" t="str">
        <f>VLOOKUP(C16,Лист1!$B$1:$N$33,4,0)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16" t="s">
        <v>15</v>
      </c>
      <c r="J16" t="s">
        <v>18</v>
      </c>
      <c r="K16">
        <v>156</v>
      </c>
      <c r="L16" t="s">
        <v>10</v>
      </c>
      <c r="M16" t="s">
        <v>19</v>
      </c>
      <c r="N16" t="s">
        <v>13</v>
      </c>
      <c r="O16" t="s">
        <v>82</v>
      </c>
      <c r="P16">
        <v>10052</v>
      </c>
      <c r="Q16" t="str">
        <f>VLOOKUP(C16,Лист1!$B$1:$N$33,5,0)</f>
        <v>RU0000053828</v>
      </c>
      <c r="R16" s="4">
        <f>VLOOKUP(C16,Лист1!$B$1:$N$33,6,0)</f>
        <v>44431</v>
      </c>
      <c r="S16" s="4">
        <f>VLOOKUP(C16,Лист1!$B$1:$N$33,7,0)</f>
        <v>44431</v>
      </c>
      <c r="T16" s="4">
        <f>VLOOKUP(C16,Лист1!$B$1:$N$33,8,0)</f>
        <v>48213</v>
      </c>
      <c r="U16" s="10">
        <v>0.27500000000000002</v>
      </c>
      <c r="V16" s="10">
        <f t="shared" si="2"/>
        <v>2.2000000000000002</v>
      </c>
      <c r="W16">
        <v>2.4</v>
      </c>
      <c r="X16" s="1">
        <f t="shared" si="3"/>
        <v>2.5871999999999997</v>
      </c>
      <c r="Y16" s="1" t="s">
        <v>41</v>
      </c>
      <c r="Z16" s="1"/>
      <c r="AA16" s="1"/>
      <c r="AB16" s="1"/>
      <c r="AC16" s="1"/>
      <c r="AD16" s="1"/>
      <c r="AE16" t="s">
        <v>10</v>
      </c>
      <c r="AF16" t="s">
        <v>86</v>
      </c>
      <c r="AG16" t="s">
        <v>224</v>
      </c>
    </row>
    <row r="17" spans="1:33" hidden="1" x14ac:dyDescent="0.25">
      <c r="A17" s="2">
        <v>44063</v>
      </c>
      <c r="B17">
        <f>VLOOKUP(C17,Лист1!$B$1:$N$33,2,0)</f>
        <v>8517620003</v>
      </c>
      <c r="C17" t="s">
        <v>27</v>
      </c>
      <c r="D17" t="str">
        <f>VLOOKUP(C17,Лист1!$B$2:$T$45,14,0)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17">
        <v>4</v>
      </c>
      <c r="F17" s="19">
        <v>198</v>
      </c>
      <c r="G17" s="19">
        <f t="shared" si="1"/>
        <v>792</v>
      </c>
      <c r="H17" t="str">
        <f>VLOOKUP(C17,Лист1!$B$1:$N$33,4,0)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17" t="s">
        <v>15</v>
      </c>
      <c r="J17" t="s">
        <v>18</v>
      </c>
      <c r="K17">
        <v>156</v>
      </c>
      <c r="L17" t="s">
        <v>10</v>
      </c>
      <c r="M17" t="s">
        <v>19</v>
      </c>
      <c r="N17" t="s">
        <v>13</v>
      </c>
      <c r="O17" t="s">
        <v>82</v>
      </c>
      <c r="P17">
        <v>10052</v>
      </c>
      <c r="Q17" t="str">
        <f>VLOOKUP(C17,Лист1!$B$1:$N$33,5,0)</f>
        <v>RU0000053828</v>
      </c>
      <c r="R17" s="4">
        <f>VLOOKUP(C17,Лист1!$B$1:$N$33,6,0)</f>
        <v>44431</v>
      </c>
      <c r="S17" s="4">
        <f>VLOOKUP(C17,Лист1!$B$1:$N$33,7,0)</f>
        <v>44431</v>
      </c>
      <c r="T17" s="4">
        <f>VLOOKUP(C17,Лист1!$B$1:$N$33,8,0)</f>
        <v>48213</v>
      </c>
      <c r="U17" s="10">
        <v>0.27500000000000002</v>
      </c>
      <c r="V17" s="10">
        <f t="shared" si="2"/>
        <v>1.1000000000000001</v>
      </c>
      <c r="W17">
        <v>1.2</v>
      </c>
      <c r="X17" s="1">
        <f t="shared" si="3"/>
        <v>1.2935999999999999</v>
      </c>
      <c r="Y17" s="1" t="s">
        <v>41</v>
      </c>
      <c r="Z17" s="1"/>
      <c r="AA17" s="1"/>
      <c r="AB17" s="1"/>
      <c r="AC17" s="1"/>
      <c r="AD17" s="1"/>
      <c r="AE17" t="s">
        <v>10</v>
      </c>
      <c r="AF17" t="s">
        <v>86</v>
      </c>
      <c r="AG17" t="s">
        <v>224</v>
      </c>
    </row>
    <row r="18" spans="1:33" hidden="1" x14ac:dyDescent="0.25">
      <c r="A18" s="2">
        <v>44063</v>
      </c>
      <c r="B18">
        <f>VLOOKUP(C18,Лист1!$B$1:$N$33,2,0)</f>
        <v>8517620003</v>
      </c>
      <c r="C18" t="s">
        <v>73</v>
      </c>
      <c r="D18" t="str">
        <f>VLOOKUP(C18,Лист1!$B$2:$T$45,14,0)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18">
        <v>2</v>
      </c>
      <c r="F18" s="19">
        <v>291</v>
      </c>
      <c r="G18" s="19">
        <f t="shared" si="1"/>
        <v>582</v>
      </c>
      <c r="H18" t="str">
        <f>VLOOKUP(C18,Лист1!$B$1:$N$33,4,0)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18" t="s">
        <v>15</v>
      </c>
      <c r="J18" t="s">
        <v>18</v>
      </c>
      <c r="K18">
        <v>156</v>
      </c>
      <c r="L18" t="s">
        <v>10</v>
      </c>
      <c r="M18" t="s">
        <v>19</v>
      </c>
      <c r="N18" t="s">
        <v>13</v>
      </c>
      <c r="O18" t="s">
        <v>82</v>
      </c>
      <c r="P18">
        <v>10052</v>
      </c>
      <c r="Q18" t="str">
        <f>VLOOKUP(C18,Лист1!$B$1:$N$33,5,0)</f>
        <v>RU0000033119</v>
      </c>
      <c r="R18" s="4">
        <f>VLOOKUP(C18,Лист1!$B$1:$N$33,6,0)</f>
        <v>42972</v>
      </c>
      <c r="S18" s="4">
        <f>VLOOKUP(C18,Лист1!$B$1:$N$33,7,0)</f>
        <v>42972</v>
      </c>
      <c r="T18" s="4">
        <f>VLOOKUP(C18,Лист1!$B$1:$N$33,8,0)</f>
        <v>44369</v>
      </c>
      <c r="U18" s="10">
        <v>0.69</v>
      </c>
      <c r="V18" s="10">
        <f t="shared" si="2"/>
        <v>1.38</v>
      </c>
      <c r="W18">
        <v>2</v>
      </c>
      <c r="X18" s="1">
        <f t="shared" si="3"/>
        <v>2.1560000000000001</v>
      </c>
      <c r="Y18" s="1" t="s">
        <v>41</v>
      </c>
      <c r="Z18" s="1"/>
      <c r="AA18" s="1"/>
      <c r="AB18" s="1"/>
      <c r="AC18" s="1"/>
      <c r="AD18" s="1"/>
      <c r="AE18" t="s">
        <v>10</v>
      </c>
      <c r="AF18" t="s">
        <v>86</v>
      </c>
      <c r="AG18" t="s">
        <v>224</v>
      </c>
    </row>
    <row r="19" spans="1:33" hidden="1" x14ac:dyDescent="0.25">
      <c r="A19" s="2">
        <v>44063</v>
      </c>
      <c r="B19">
        <f>VLOOKUP(C19,Лист1!$B$1:$N$33,2,0)</f>
        <v>8517620003</v>
      </c>
      <c r="C19" t="s">
        <v>44</v>
      </c>
      <c r="D19" t="str">
        <f>VLOOKUP(C19,Лист1!$B$2:$T$45,14,0)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19">
        <v>10</v>
      </c>
      <c r="F19" s="19">
        <v>894</v>
      </c>
      <c r="G19" s="19">
        <f t="shared" si="1"/>
        <v>8940</v>
      </c>
      <c r="H19" t="str">
        <f>VLOOKUP(C19,Лист1!$B$1:$N$33,4,0)</f>
        <v xml:space="preserve">Описание
SICOM3024P-4GX24T-HV-HV-S - промышленные коммутаторы 2 уровня, монтируемые в 19" стойку. Устройства имеют 4 гигабитных порта и 24 порта 100 Мбит/с, которые могут быть как медными так и оптическими.
Коммутаторы крепятся в 19-дюймовую стойку (занимают 1U). Устройства соответствуют IEC61850-3, IEEE1613, EN50155, EN50121-4, NEMA TS-2 для использования в энергетике и на транспорте. Диапазон рабочих температур коммутаторов SICOM3024P-2M26T-SC05-HV-HV-S от -40° до +85°. 
Характеристики
Протоколы 
DT-Ring, DT-Ring+, MSTP
IGMP Snooping, GMRP; 
VLAN, PVLAN; 
Telnet, HTTP, HTTPS, SNMPv1/v2/v3, RMON, LLDP, DHCP server; 
SNTP, RTC;
DT-Psec, SSH, SSL, ACL;
ARP, QoS 
Пропускная способность устройства 
9.5 Mpps 
Питание
Напряжение питания 
 От 85 до264Вольт переменного тока или от 77 до 300Вольт постоянного тока 
Потребляемая мощность 
менее 30 Вт 
Механические характеристики
Размеры
482.6×44×322.5 мм 
Крепление 
19” стойка 
Класс защиты 
IP40 
Рабочая температура 
от -40 до +85С 
Температура хранения 
-40 до +85C 
Влажность 
от 5 до 95% (без конденсата) 
MTBF 
346889 часов 
Гарантия 
5 лет </v>
      </c>
      <c r="I19" t="s">
        <v>15</v>
      </c>
      <c r="J19" t="s">
        <v>18</v>
      </c>
      <c r="K19">
        <v>156</v>
      </c>
      <c r="L19" t="s">
        <v>10</v>
      </c>
      <c r="M19" t="s">
        <v>19</v>
      </c>
      <c r="N19" t="s">
        <v>13</v>
      </c>
      <c r="O19" t="s">
        <v>82</v>
      </c>
      <c r="P19">
        <v>10052</v>
      </c>
      <c r="Q19" t="str">
        <f>VLOOKUP(C19,Лист1!$B$1:$N$33,5,0)</f>
        <v>RU0000053826</v>
      </c>
      <c r="R19" s="4">
        <f>VLOOKUP(C19,Лист1!$B$1:$N$33,6,0)</f>
        <v>44431</v>
      </c>
      <c r="S19" s="4">
        <f>VLOOKUP(C19,Лист1!$B$1:$N$33,7,0)</f>
        <v>44431</v>
      </c>
      <c r="T19" s="4">
        <f>VLOOKUP(C19,Лист1!$B$1:$N$33,8,0)</f>
        <v>48213</v>
      </c>
      <c r="U19" s="10">
        <v>5.22</v>
      </c>
      <c r="V19" s="10">
        <f t="shared" si="2"/>
        <v>52.199999999999996</v>
      </c>
      <c r="W19">
        <v>60</v>
      </c>
      <c r="X19" s="1">
        <f t="shared" si="3"/>
        <v>64.680000000000007</v>
      </c>
      <c r="Y19" s="1" t="s">
        <v>41</v>
      </c>
      <c r="Z19" s="3" t="s">
        <v>48</v>
      </c>
      <c r="AA19" s="2" t="str">
        <f>VLOOKUP(C19,Лист1!$B$1:$N$33,10,0)</f>
        <v>ЕАЭС N RU Д-CN.КА01.В.17403/19</v>
      </c>
      <c r="AB19" s="2">
        <f>VLOOKUP(C19,Лист1!$B$1:$N$33,11,0)</f>
        <v>43787</v>
      </c>
      <c r="AC19" s="2">
        <f>VLOOKUP(C19,Лист1!$B$1:$N$33,12,0)</f>
        <v>43787</v>
      </c>
      <c r="AD19" s="2">
        <f>VLOOKUP(C19,Лист1!$B$1:$N$33,13,0)</f>
        <v>45613</v>
      </c>
      <c r="AE19" t="s">
        <v>10</v>
      </c>
      <c r="AF19" t="s">
        <v>86</v>
      </c>
      <c r="AG19" t="s">
        <v>224</v>
      </c>
    </row>
    <row r="20" spans="1:33" hidden="1" x14ac:dyDescent="0.25">
      <c r="A20" s="2">
        <v>44063</v>
      </c>
      <c r="B20">
        <f>VLOOKUP(C20,Лист1!$B$1:$N$33,2,0)</f>
        <v>8517620003</v>
      </c>
      <c r="C20" t="s">
        <v>75</v>
      </c>
      <c r="D20" t="str">
        <f>VLOOKUP(C20,Лист1!$B$2:$T$45,14,0)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20">
        <v>1</v>
      </c>
      <c r="F20" s="19">
        <v>331</v>
      </c>
      <c r="G20" s="19">
        <f t="shared" si="1"/>
        <v>331</v>
      </c>
      <c r="H20" t="str">
        <f>VLOOKUP(C20,Лист1!$B$1:$N$33,4,0)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20" t="s">
        <v>15</v>
      </c>
      <c r="J20" t="s">
        <v>18</v>
      </c>
      <c r="K20">
        <v>156</v>
      </c>
      <c r="L20" t="s">
        <v>10</v>
      </c>
      <c r="M20" t="s">
        <v>19</v>
      </c>
      <c r="N20" t="s">
        <v>13</v>
      </c>
      <c r="O20" t="s">
        <v>82</v>
      </c>
      <c r="P20">
        <v>10052</v>
      </c>
      <c r="Q20" t="str">
        <f>VLOOKUP(C20,Лист1!$B$1:$N$33,5,0)</f>
        <v>RU0000033119</v>
      </c>
      <c r="R20" s="4">
        <f>VLOOKUP(C20,Лист1!$B$1:$N$33,6,0)</f>
        <v>42972</v>
      </c>
      <c r="S20" s="4">
        <f>VLOOKUP(C20,Лист1!$B$1:$N$33,7,0)</f>
        <v>42972</v>
      </c>
      <c r="T20" s="4">
        <f>VLOOKUP(C20,Лист1!$B$1:$N$33,8,0)</f>
        <v>44369</v>
      </c>
      <c r="U20" s="10">
        <f>VLOOKUP(C20,Лист1!$B$1:$N$33,9,0)</f>
        <v>0.76</v>
      </c>
      <c r="V20" s="10">
        <f t="shared" si="2"/>
        <v>0.76</v>
      </c>
      <c r="W20">
        <v>1.3</v>
      </c>
      <c r="X20" s="1">
        <v>1.45</v>
      </c>
      <c r="Y20" s="1" t="s">
        <v>41</v>
      </c>
      <c r="Z20" s="1"/>
      <c r="AB20" s="2" t="str">
        <f>VLOOKUP(C20,Лист1!$B$1:$N$33,11,0)</f>
        <v>не требеутся</v>
      </c>
      <c r="AC20" s="2" t="str">
        <f>VLOOKUP(C20,Лист1!$B$1:$N$33,12,0)</f>
        <v>не требеутся</v>
      </c>
      <c r="AD20" s="2" t="str">
        <f>VLOOKUP(C20,Лист1!$B$1:$N$33,13,0)</f>
        <v>не требеутся</v>
      </c>
      <c r="AE20" t="s">
        <v>10</v>
      </c>
      <c r="AF20" t="s">
        <v>86</v>
      </c>
      <c r="AG20" t="s">
        <v>224</v>
      </c>
    </row>
    <row r="21" spans="1:33" hidden="1" x14ac:dyDescent="0.25">
      <c r="A21" s="2">
        <v>44075</v>
      </c>
      <c r="B21">
        <f>VLOOKUP(C21,Лист1!$B$1:$N$33,2,0)</f>
        <v>8517620003</v>
      </c>
      <c r="C21" t="s">
        <v>85</v>
      </c>
      <c r="D21" t="str">
        <f>VLOOKUP(C21,Лист1!$B$2:$T$45,14,0)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21">
        <v>2</v>
      </c>
      <c r="F21" s="19">
        <v>499.5</v>
      </c>
      <c r="G21" s="19">
        <f t="shared" si="1"/>
        <v>999</v>
      </c>
      <c r="H21" t="str">
        <f>VLOOKUP(C21,Лист1!$B$1:$N$33,4,0)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21" t="s">
        <v>15</v>
      </c>
      <c r="J21" t="s">
        <v>18</v>
      </c>
      <c r="K21">
        <v>156</v>
      </c>
      <c r="L21" t="s">
        <v>10</v>
      </c>
      <c r="M21" t="s">
        <v>19</v>
      </c>
      <c r="N21" t="s">
        <v>13</v>
      </c>
      <c r="O21" t="s">
        <v>82</v>
      </c>
      <c r="P21">
        <v>10052</v>
      </c>
      <c r="Q21" t="str">
        <f>VLOOKUP(C21,Лист1!$B$1:$N$33,5,0)</f>
        <v>RU0000033119</v>
      </c>
      <c r="R21" s="4">
        <f>VLOOKUP(C21,Лист1!$B$1:$N$33,6,0)</f>
        <v>42972</v>
      </c>
      <c r="S21" s="4">
        <f>VLOOKUP(C21,Лист1!$B$1:$N$33,7,0)</f>
        <v>42972</v>
      </c>
      <c r="T21" s="4">
        <f>VLOOKUP(C21,Лист1!$B$1:$N$33,8,0)</f>
        <v>44369</v>
      </c>
      <c r="U21" s="10">
        <f>VLOOKUP(C21,Лист1!$B$1:$N$33,9,0)</f>
        <v>0.76</v>
      </c>
      <c r="W21">
        <v>4.9000000000000004</v>
      </c>
      <c r="X21" s="1">
        <v>6</v>
      </c>
      <c r="Y21" s="1" t="s">
        <v>41</v>
      </c>
      <c r="Z21" s="3" t="s">
        <v>48</v>
      </c>
      <c r="AB21" s="2" t="str">
        <f>VLOOKUP(C21,Лист1!$B$1:$N$33,11,0)</f>
        <v>не требеутся</v>
      </c>
      <c r="AC21" s="2" t="str">
        <f>VLOOKUP(C21,Лист1!$B$1:$N$33,12,0)</f>
        <v>не требеутся</v>
      </c>
      <c r="AD21" s="2" t="str">
        <f>VLOOKUP(C21,Лист1!$B$1:$N$33,13,0)</f>
        <v>не требеутся</v>
      </c>
      <c r="AE21" t="s">
        <v>10</v>
      </c>
      <c r="AF21" t="s">
        <v>101</v>
      </c>
      <c r="AG21" t="s">
        <v>224</v>
      </c>
    </row>
    <row r="22" spans="1:33" hidden="1" x14ac:dyDescent="0.25">
      <c r="A22" s="2">
        <v>44082</v>
      </c>
      <c r="B22">
        <f>VLOOKUP(C22,Лист1!$B$1:$N$33,2,0)</f>
        <v>8517620003</v>
      </c>
      <c r="C22" t="s">
        <v>87</v>
      </c>
      <c r="D22" t="str">
        <f>VLOOKUP(C22,Лист1!$B$2:$T$45,14,0)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22">
        <v>10</v>
      </c>
      <c r="F22" s="19">
        <v>396</v>
      </c>
      <c r="G22" s="19">
        <f t="shared" si="1"/>
        <v>3960</v>
      </c>
      <c r="H22" t="str">
        <f>VLOOKUP(C22,Лист1!$B$1:$N$33,4,0)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22" t="s">
        <v>15</v>
      </c>
      <c r="J22" t="s">
        <v>18</v>
      </c>
      <c r="K22">
        <v>156</v>
      </c>
      <c r="L22" t="s">
        <v>10</v>
      </c>
      <c r="M22" t="s">
        <v>19</v>
      </c>
      <c r="N22" t="s">
        <v>13</v>
      </c>
      <c r="O22" t="s">
        <v>82</v>
      </c>
      <c r="P22">
        <v>10052</v>
      </c>
      <c r="Q22" t="str">
        <f>VLOOKUP(C22,Лист1!$B$1:$N$33,5,0)</f>
        <v>RU0000033118</v>
      </c>
      <c r="R22" s="4">
        <f>VLOOKUP(C22,Лист1!$B$1:$N$33,6,0)</f>
        <v>42972</v>
      </c>
      <c r="S22" s="4">
        <f>VLOOKUP(C22,Лист1!$B$1:$N$33,7,0)</f>
        <v>42972</v>
      </c>
      <c r="T22" s="4">
        <f>VLOOKUP(C22,Лист1!$B$1:$N$33,8,0)</f>
        <v>44369</v>
      </c>
      <c r="U22" s="10">
        <f>VLOOKUP(C22,Лист1!$B$1:$N$33,9,0)</f>
        <v>0.76</v>
      </c>
      <c r="V22" s="10">
        <f t="shared" si="2"/>
        <v>7.6</v>
      </c>
      <c r="W22">
        <v>13</v>
      </c>
      <c r="X22" s="1">
        <f>W22+W22*0.06</f>
        <v>13.78</v>
      </c>
      <c r="Y22" s="1" t="s">
        <v>41</v>
      </c>
      <c r="Z22" s="3" t="s">
        <v>48</v>
      </c>
      <c r="AB22" s="2" t="str">
        <f>VLOOKUP(C22,Лист1!$B$1:$N$33,11,0)</f>
        <v>не требеутся</v>
      </c>
      <c r="AC22" s="2" t="str">
        <f>VLOOKUP(C22,Лист1!$B$1:$N$33,12,0)</f>
        <v>не требеутся</v>
      </c>
      <c r="AD22" s="2" t="str">
        <f>VLOOKUP(C22,Лист1!$B$1:$N$33,13,0)</f>
        <v>не требеутся</v>
      </c>
      <c r="AE22" t="s">
        <v>10</v>
      </c>
      <c r="AF22" t="s">
        <v>102</v>
      </c>
      <c r="AG22" t="s">
        <v>224</v>
      </c>
    </row>
    <row r="23" spans="1:33" hidden="1" x14ac:dyDescent="0.25">
      <c r="A23" s="2">
        <v>44082</v>
      </c>
      <c r="B23">
        <f>VLOOKUP(C23,Лист1!$B$1:$N$33,2,0)</f>
        <v>8517620003</v>
      </c>
      <c r="C23" t="s">
        <v>75</v>
      </c>
      <c r="D23" t="str">
        <f>VLOOKUP(C23,Лист1!$B$2:$T$45,14,0)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23">
        <v>6</v>
      </c>
      <c r="F23" s="19">
        <v>331</v>
      </c>
      <c r="G23" s="19">
        <f t="shared" si="1"/>
        <v>1986</v>
      </c>
      <c r="H23" t="str">
        <f>VLOOKUP(C23,Лист1!$B$1:$N$33,4,0)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23" t="s">
        <v>15</v>
      </c>
      <c r="J23" t="s">
        <v>18</v>
      </c>
      <c r="K23">
        <v>156</v>
      </c>
      <c r="L23" t="s">
        <v>10</v>
      </c>
      <c r="M23" t="s">
        <v>19</v>
      </c>
      <c r="N23" t="s">
        <v>13</v>
      </c>
      <c r="O23" t="s">
        <v>82</v>
      </c>
      <c r="P23">
        <v>10052</v>
      </c>
      <c r="Q23" t="str">
        <f>VLOOKUP(C23,Лист1!$B$1:$N$33,5,0)</f>
        <v>RU0000033119</v>
      </c>
      <c r="R23" s="4">
        <f>VLOOKUP(C23,Лист1!$B$1:$N$33,6,0)</f>
        <v>42972</v>
      </c>
      <c r="S23" s="4">
        <f>VLOOKUP(C23,Лист1!$B$1:$N$33,7,0)</f>
        <v>42972</v>
      </c>
      <c r="T23" s="4">
        <f>VLOOKUP(C23,Лист1!$B$1:$N$33,8,0)</f>
        <v>44369</v>
      </c>
      <c r="U23" s="10">
        <f>VLOOKUP(C23,Лист1!$B$1:$N$33,9,0)</f>
        <v>0.76</v>
      </c>
      <c r="V23" s="10">
        <f t="shared" si="2"/>
        <v>4.5600000000000005</v>
      </c>
      <c r="W23">
        <v>7.8</v>
      </c>
      <c r="X23" s="1">
        <v>8.2200000000000006</v>
      </c>
      <c r="Y23" s="1" t="s">
        <v>41</v>
      </c>
      <c r="Z23" s="3" t="s">
        <v>48</v>
      </c>
      <c r="AB23" s="2" t="str">
        <f>VLOOKUP(C23,Лист1!$B$1:$N$33,11,0)</f>
        <v>не требеутся</v>
      </c>
      <c r="AC23" s="2" t="str">
        <f>VLOOKUP(C23,Лист1!$B$1:$N$33,12,0)</f>
        <v>не требеутся</v>
      </c>
      <c r="AD23" s="2" t="str">
        <f>VLOOKUP(C23,Лист1!$B$1:$N$33,13,0)</f>
        <v>не требеутся</v>
      </c>
      <c r="AE23" t="s">
        <v>10</v>
      </c>
      <c r="AF23" t="s">
        <v>102</v>
      </c>
      <c r="AG23" t="s">
        <v>224</v>
      </c>
    </row>
    <row r="24" spans="1:33" hidden="1" x14ac:dyDescent="0.25">
      <c r="A24" s="2">
        <v>44125</v>
      </c>
      <c r="B24">
        <f>VLOOKUP(C24,Лист1!$B$1:$N$33,2,0)</f>
        <v>8517620003</v>
      </c>
      <c r="C24" t="s">
        <v>88</v>
      </c>
      <c r="D24" t="str">
        <f>VLOOKUP(C24,Лист1!$B$2:$T$45,14,0)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24">
        <v>68</v>
      </c>
      <c r="F24" s="19">
        <v>250.33</v>
      </c>
      <c r="G24" s="19">
        <f t="shared" si="1"/>
        <v>17022.440000000002</v>
      </c>
      <c r="H24" t="str">
        <f>VLOOKUP(C24,Лист1!$B$1:$N$33,4,0)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24" t="s">
        <v>15</v>
      </c>
      <c r="J24" t="s">
        <v>18</v>
      </c>
      <c r="K24">
        <v>156</v>
      </c>
      <c r="L24" t="s">
        <v>10</v>
      </c>
      <c r="M24" t="s">
        <v>19</v>
      </c>
      <c r="N24" t="s">
        <v>13</v>
      </c>
      <c r="O24" t="s">
        <v>82</v>
      </c>
      <c r="P24">
        <v>10052</v>
      </c>
      <c r="Q24" t="str">
        <f>VLOOKUP(C24,Лист1!$B$1:$N$33,5,0)</f>
        <v>RU0000033118</v>
      </c>
      <c r="R24" s="4">
        <f>VLOOKUP(C24,Лист1!$B$1:$N$33,6,0)</f>
        <v>42972</v>
      </c>
      <c r="S24" s="4">
        <f>VLOOKUP(C24,Лист1!$B$1:$N$33,7,0)</f>
        <v>42972</v>
      </c>
      <c r="T24" s="4">
        <f>VLOOKUP(C24,Лист1!$B$1:$N$33,8,0)</f>
        <v>44369</v>
      </c>
      <c r="U24" s="10">
        <v>1.5</v>
      </c>
      <c r="V24" s="10">
        <f>U24*E24</f>
        <v>102</v>
      </c>
      <c r="W24" s="10">
        <v>103</v>
      </c>
      <c r="X24" s="1">
        <v>107.27</v>
      </c>
      <c r="Y24" s="1" t="s">
        <v>78</v>
      </c>
      <c r="Z24" s="3"/>
      <c r="AE24" t="s">
        <v>10</v>
      </c>
      <c r="AF24" t="s">
        <v>100</v>
      </c>
      <c r="AG24" t="s">
        <v>224</v>
      </c>
    </row>
    <row r="25" spans="1:33" hidden="1" x14ac:dyDescent="0.25">
      <c r="A25" s="2">
        <v>44125</v>
      </c>
      <c r="B25">
        <f>VLOOKUP(C25,Лист1!$B$1:$N$33,2,0)</f>
        <v>8517620003</v>
      </c>
      <c r="C25" t="s">
        <v>89</v>
      </c>
      <c r="D25" t="str">
        <f>VLOOKUP(C25,Лист1!$B$2:$T$45,14,0)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25">
        <v>16</v>
      </c>
      <c r="F25" s="19">
        <v>195.08</v>
      </c>
      <c r="G25" s="19">
        <f t="shared" si="1"/>
        <v>3121.28</v>
      </c>
      <c r="H25" t="str">
        <f>VLOOKUP(C25,Лист1!$B$1:$N$33,4,0)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25" t="s">
        <v>15</v>
      </c>
      <c r="J25" t="s">
        <v>18</v>
      </c>
      <c r="K25">
        <v>156</v>
      </c>
      <c r="L25" t="s">
        <v>10</v>
      </c>
      <c r="M25" t="s">
        <v>19</v>
      </c>
      <c r="N25" t="s">
        <v>13</v>
      </c>
      <c r="O25" t="s">
        <v>82</v>
      </c>
      <c r="P25">
        <v>10052</v>
      </c>
      <c r="Q25" t="str">
        <f>VLOOKUP(C25,Лист1!$B$1:$N$33,5,0)</f>
        <v>RU0000049917</v>
      </c>
      <c r="R25" s="4">
        <f>VLOOKUP(C25,Лист1!$B$1:$N$33,6,0)</f>
        <v>44099</v>
      </c>
      <c r="S25" s="4">
        <f>VLOOKUP(C25,Лист1!$B$1:$N$33,7,0)</f>
        <v>44099</v>
      </c>
      <c r="T25" s="4">
        <f>VLOOKUP(C25,Лист1!$B$1:$N$33,8,0)</f>
        <v>47848</v>
      </c>
      <c r="U25" s="10">
        <f>VLOOKUP(C25,Лист1!$B$1:$N$33,9,0)</f>
        <v>1.1000000000000001</v>
      </c>
      <c r="V25" s="10">
        <f t="shared" ref="V25:V30" si="4">U25*E25</f>
        <v>17.600000000000001</v>
      </c>
      <c r="W25" s="10">
        <v>24</v>
      </c>
      <c r="X25" s="1">
        <f t="shared" ref="X25:X30" si="5">W25+W25*0.05</f>
        <v>25.2</v>
      </c>
      <c r="Y25" s="1" t="s">
        <v>78</v>
      </c>
      <c r="Z25" s="3"/>
      <c r="AE25" t="s">
        <v>10</v>
      </c>
      <c r="AF25" t="s">
        <v>100</v>
      </c>
      <c r="AG25" t="s">
        <v>224</v>
      </c>
    </row>
    <row r="26" spans="1:33" hidden="1" x14ac:dyDescent="0.25">
      <c r="A26" s="2">
        <v>44125</v>
      </c>
      <c r="B26">
        <f>VLOOKUP(C26,Лист1!$B$1:$N$33,2,0)</f>
        <v>8517620003</v>
      </c>
      <c r="C26" t="s">
        <v>90</v>
      </c>
      <c r="D26" t="str">
        <f>VLOOKUP(C26,Лист1!$B$2:$T$45,14,0)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26">
        <v>3</v>
      </c>
      <c r="F26" s="19">
        <v>250.33</v>
      </c>
      <c r="G26" s="19">
        <f t="shared" si="1"/>
        <v>750.99</v>
      </c>
      <c r="H26" t="str">
        <f>VLOOKUP(C26,Лист1!$B$1:$N$33,4,0)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26" t="s">
        <v>15</v>
      </c>
      <c r="J26" t="s">
        <v>18</v>
      </c>
      <c r="K26">
        <v>156</v>
      </c>
      <c r="L26" t="s">
        <v>10</v>
      </c>
      <c r="M26" t="s">
        <v>19</v>
      </c>
      <c r="N26" t="s">
        <v>13</v>
      </c>
      <c r="O26" t="s">
        <v>82</v>
      </c>
      <c r="P26">
        <v>10052</v>
      </c>
      <c r="Q26" t="str">
        <f>VLOOKUP(C26,Лист1!$B$1:$N$33,5,0)</f>
        <v>RU0000049917</v>
      </c>
      <c r="R26" s="4">
        <f>VLOOKUP(C26,Лист1!$B$1:$N$33,6,0)</f>
        <v>44099</v>
      </c>
      <c r="S26" s="4">
        <f>VLOOKUP(C26,Лист1!$B$1:$N$33,7,0)</f>
        <v>44099</v>
      </c>
      <c r="T26" s="4">
        <f>VLOOKUP(C26,Лист1!$B$1:$N$33,8,0)</f>
        <v>47848</v>
      </c>
      <c r="U26" s="10">
        <f>VLOOKUP(C26,Лист1!$B$1:$N$33,9,0)</f>
        <v>1.5</v>
      </c>
      <c r="V26" s="10">
        <f t="shared" si="4"/>
        <v>4.5</v>
      </c>
      <c r="W26" s="10">
        <v>4.5</v>
      </c>
      <c r="X26" s="1">
        <f t="shared" si="5"/>
        <v>4.7249999999999996</v>
      </c>
      <c r="Y26" s="1" t="s">
        <v>78</v>
      </c>
      <c r="Z26" s="3"/>
      <c r="AE26" t="s">
        <v>10</v>
      </c>
      <c r="AF26" t="s">
        <v>100</v>
      </c>
      <c r="AG26" t="s">
        <v>224</v>
      </c>
    </row>
    <row r="27" spans="1:33" hidden="1" x14ac:dyDescent="0.25">
      <c r="A27" s="2">
        <v>44125</v>
      </c>
      <c r="B27">
        <f>VLOOKUP(C27,Лист1!$B$1:$N$33,2,0)</f>
        <v>8517620003</v>
      </c>
      <c r="C27" t="s">
        <v>91</v>
      </c>
      <c r="D27" t="str">
        <f>VLOOKUP(C27,Лист1!$B$2:$T$45,14,0)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27">
        <v>9</v>
      </c>
      <c r="F27" s="19">
        <v>424.58</v>
      </c>
      <c r="G27" s="19">
        <f t="shared" si="1"/>
        <v>3821.22</v>
      </c>
      <c r="H27" t="str">
        <f>VLOOKUP(C27,Лист1!$B$1:$N$33,4,0)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27" t="s">
        <v>15</v>
      </c>
      <c r="J27" t="s">
        <v>18</v>
      </c>
      <c r="K27">
        <v>156</v>
      </c>
      <c r="L27" t="s">
        <v>10</v>
      </c>
      <c r="M27" t="s">
        <v>19</v>
      </c>
      <c r="N27" t="s">
        <v>13</v>
      </c>
      <c r="O27" t="s">
        <v>82</v>
      </c>
      <c r="P27">
        <v>10052</v>
      </c>
      <c r="Q27" t="str">
        <f>VLOOKUP(C27,Лист1!$B$1:$N$33,5,0)</f>
        <v>RU0000049917</v>
      </c>
      <c r="R27" s="4">
        <f>VLOOKUP(C27,Лист1!$B$1:$N$33,6,0)</f>
        <v>44099</v>
      </c>
      <c r="S27" s="4">
        <f>VLOOKUP(C27,Лист1!$B$1:$N$33,7,0)</f>
        <v>44099</v>
      </c>
      <c r="T27" s="4">
        <f>VLOOKUP(C27,Лист1!$B$1:$N$33,8,0)</f>
        <v>47848</v>
      </c>
      <c r="U27" s="10">
        <f>VLOOKUP(C27,Лист1!$B$1:$N$33,9,0)</f>
        <v>1.9</v>
      </c>
      <c r="V27" s="10">
        <f t="shared" si="4"/>
        <v>17.099999999999998</v>
      </c>
      <c r="W27" s="10">
        <v>13.5</v>
      </c>
      <c r="X27" s="1">
        <f t="shared" si="5"/>
        <v>14.175000000000001</v>
      </c>
      <c r="Y27" s="1" t="s">
        <v>78</v>
      </c>
      <c r="Z27" s="3"/>
      <c r="AE27" t="s">
        <v>10</v>
      </c>
      <c r="AF27" t="s">
        <v>100</v>
      </c>
      <c r="AG27" t="s">
        <v>224</v>
      </c>
    </row>
    <row r="28" spans="1:33" hidden="1" x14ac:dyDescent="0.25">
      <c r="A28" s="2">
        <v>44125</v>
      </c>
      <c r="B28">
        <f>VLOOKUP(C28,Лист1!$B$1:$N$33,2,0)</f>
        <v>8517620003</v>
      </c>
      <c r="C28" t="s">
        <v>92</v>
      </c>
      <c r="D28" t="str">
        <f>VLOOKUP(C28,Лист1!$B$2:$T$45,14,0)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28">
        <v>2</v>
      </c>
      <c r="F28" s="19">
        <v>386.75</v>
      </c>
      <c r="G28" s="19">
        <f t="shared" si="1"/>
        <v>773.5</v>
      </c>
      <c r="H28" t="str">
        <f>VLOOKUP(C28,Лист1!$B$1:$N$33,4,0)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28" t="s">
        <v>15</v>
      </c>
      <c r="J28" t="s">
        <v>18</v>
      </c>
      <c r="K28">
        <v>156</v>
      </c>
      <c r="L28" t="s">
        <v>10</v>
      </c>
      <c r="M28" t="s">
        <v>19</v>
      </c>
      <c r="N28" t="s">
        <v>13</v>
      </c>
      <c r="O28" t="s">
        <v>82</v>
      </c>
      <c r="P28">
        <v>10052</v>
      </c>
      <c r="Q28" t="str">
        <f>VLOOKUP(C28,Лист1!$B$1:$N$33,5,0)</f>
        <v>RU0000033118</v>
      </c>
      <c r="R28" s="4">
        <f>VLOOKUP(C28,Лист1!$B$1:$N$33,6,0)</f>
        <v>42972</v>
      </c>
      <c r="S28" s="4">
        <f>VLOOKUP(C28,Лист1!$B$1:$N$33,7,0)</f>
        <v>42972</v>
      </c>
      <c r="T28" s="4">
        <f>VLOOKUP(C28,Лист1!$B$1:$N$33,8,0)</f>
        <v>44369</v>
      </c>
      <c r="U28" s="10">
        <f>VLOOKUP(C28,Лист1!$B$1:$N$33,9,0)</f>
        <v>1</v>
      </c>
      <c r="V28" s="10">
        <f t="shared" si="4"/>
        <v>2</v>
      </c>
      <c r="W28" s="10">
        <v>3</v>
      </c>
      <c r="X28" s="1">
        <f t="shared" si="5"/>
        <v>3.15</v>
      </c>
      <c r="Y28" s="1" t="s">
        <v>78</v>
      </c>
      <c r="Z28" s="3" t="s">
        <v>48</v>
      </c>
      <c r="AA28" s="2" t="str">
        <f>VLOOKUP(C28,Лист1!$B$1:$N$33,10,0)</f>
        <v>ЕАЭС N RU Д-CN.КА01.В.17403/19</v>
      </c>
      <c r="AB28" s="2">
        <f>VLOOKUP(C28,Лист1!$B$1:$N$33,11,0)</f>
        <v>43787</v>
      </c>
      <c r="AC28" s="2">
        <f>VLOOKUP(C28,Лист1!$B$1:$N$33,12,0)</f>
        <v>43787</v>
      </c>
      <c r="AD28" s="2">
        <f>VLOOKUP(C28,Лист1!$B$1:$N$33,13,0)</f>
        <v>45613</v>
      </c>
      <c r="AE28" t="s">
        <v>10</v>
      </c>
      <c r="AF28" t="s">
        <v>100</v>
      </c>
      <c r="AG28" t="s">
        <v>224</v>
      </c>
    </row>
    <row r="29" spans="1:33" hidden="1" x14ac:dyDescent="0.25">
      <c r="A29" s="2">
        <v>44125</v>
      </c>
      <c r="B29">
        <f>VLOOKUP(C29,Лист1!$B$1:$N$33,2,0)</f>
        <v>8517620003</v>
      </c>
      <c r="C29" t="s">
        <v>93</v>
      </c>
      <c r="D29" t="str">
        <f>VLOOKUP(C29,Лист1!$B$2:$T$45,14,0)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29">
        <v>10</v>
      </c>
      <c r="F29" s="19">
        <v>195.07</v>
      </c>
      <c r="G29" s="19">
        <f t="shared" si="1"/>
        <v>1950.6999999999998</v>
      </c>
      <c r="H29" t="str">
        <f>VLOOKUP(C29,Лист1!$B$1:$N$33,4,0)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29" t="s">
        <v>15</v>
      </c>
      <c r="J29" t="s">
        <v>18</v>
      </c>
      <c r="K29">
        <v>156</v>
      </c>
      <c r="L29" t="s">
        <v>10</v>
      </c>
      <c r="M29" t="s">
        <v>19</v>
      </c>
      <c r="N29" t="s">
        <v>13</v>
      </c>
      <c r="O29" t="s">
        <v>82</v>
      </c>
      <c r="P29">
        <v>10052</v>
      </c>
      <c r="Q29" t="str">
        <f>VLOOKUP(C29,Лист1!$B$1:$N$33,5,0)</f>
        <v>RU0000049917</v>
      </c>
      <c r="R29" s="4">
        <f>VLOOKUP(C29,Лист1!$B$1:$N$33,6,0)</f>
        <v>44099</v>
      </c>
      <c r="S29" s="4">
        <f>VLOOKUP(C29,Лист1!$B$1:$N$33,7,0)</f>
        <v>44099</v>
      </c>
      <c r="T29" s="4">
        <f>VLOOKUP(C29,Лист1!$B$1:$N$33,8,0)</f>
        <v>47848</v>
      </c>
      <c r="U29" s="10">
        <f>VLOOKUP(C29,Лист1!$B$1:$N$33,9,0)</f>
        <v>1.1000000000000001</v>
      </c>
      <c r="V29" s="10">
        <f t="shared" si="4"/>
        <v>11</v>
      </c>
      <c r="W29" s="10">
        <v>15</v>
      </c>
      <c r="X29" s="1">
        <f t="shared" si="5"/>
        <v>15.75</v>
      </c>
      <c r="Y29" s="1" t="s">
        <v>78</v>
      </c>
      <c r="Z29" s="3" t="s">
        <v>48</v>
      </c>
      <c r="AA29" s="2" t="str">
        <f>VLOOKUP(C29,Лист1!$B$1:$N$33,10,0)</f>
        <v>ЕАЭС N RU Д-CN.КА01.В.27192/20</v>
      </c>
      <c r="AB29" s="2">
        <f>VLOOKUP(C29,Лист1!$B$1:$N$33,11,0)</f>
        <v>43984</v>
      </c>
      <c r="AC29" s="2">
        <f>VLOOKUP(C29,Лист1!$B$1:$N$33,12,0)</f>
        <v>43984</v>
      </c>
      <c r="AD29" s="2">
        <f>VLOOKUP(C29,Лист1!$B$1:$N$33,13,0)</f>
        <v>45809</v>
      </c>
      <c r="AE29" t="s">
        <v>10</v>
      </c>
      <c r="AF29" t="s">
        <v>100</v>
      </c>
      <c r="AG29" t="s">
        <v>224</v>
      </c>
    </row>
    <row r="30" spans="1:33" hidden="1" x14ac:dyDescent="0.25">
      <c r="A30" s="2">
        <v>44125</v>
      </c>
      <c r="B30">
        <f>VLOOKUP(C30,Лист1!$B$1:$N$33,2,0)</f>
        <v>8517620003</v>
      </c>
      <c r="C30" t="s">
        <v>75</v>
      </c>
      <c r="D30" t="str">
        <f>VLOOKUP(C30,Лист1!$B$2:$T$45,14,0)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30">
        <v>2</v>
      </c>
      <c r="F30" s="19">
        <v>331</v>
      </c>
      <c r="G30" s="19">
        <f t="shared" si="1"/>
        <v>662</v>
      </c>
      <c r="H30" t="str">
        <f>VLOOKUP(C30,Лист1!$B$1:$N$33,4,0)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30" t="s">
        <v>15</v>
      </c>
      <c r="J30" t="s">
        <v>18</v>
      </c>
      <c r="K30">
        <v>156</v>
      </c>
      <c r="L30" t="s">
        <v>10</v>
      </c>
      <c r="M30" t="s">
        <v>19</v>
      </c>
      <c r="N30" t="s">
        <v>13</v>
      </c>
      <c r="O30" t="s">
        <v>82</v>
      </c>
      <c r="P30">
        <v>10052</v>
      </c>
      <c r="Q30" t="str">
        <f>VLOOKUP(C30,Лист1!$B$1:$N$33,5,0)</f>
        <v>RU0000033119</v>
      </c>
      <c r="R30" s="4">
        <f>VLOOKUP(C30,Лист1!$B$1:$N$33,6,0)</f>
        <v>42972</v>
      </c>
      <c r="S30" s="4">
        <f>VLOOKUP(C30,Лист1!$B$1:$N$33,7,0)</f>
        <v>42972</v>
      </c>
      <c r="T30" s="4">
        <f>VLOOKUP(C30,Лист1!$B$1:$N$33,8,0)</f>
        <v>44369</v>
      </c>
      <c r="U30" s="10">
        <f>VLOOKUP(C30,Лист1!$B$1:$N$33,9,0)</f>
        <v>0.76</v>
      </c>
      <c r="V30" s="10">
        <f t="shared" si="4"/>
        <v>1.52</v>
      </c>
      <c r="W30" s="10">
        <v>2.6</v>
      </c>
      <c r="X30" s="1">
        <f t="shared" si="5"/>
        <v>2.73</v>
      </c>
      <c r="Y30" s="1" t="s">
        <v>78</v>
      </c>
      <c r="Z30" s="3"/>
      <c r="AE30" t="s">
        <v>10</v>
      </c>
      <c r="AF30" t="s">
        <v>100</v>
      </c>
      <c r="AG30" t="s">
        <v>224</v>
      </c>
    </row>
    <row r="31" spans="1:33" hidden="1" x14ac:dyDescent="0.25">
      <c r="A31" s="2" t="s">
        <v>99</v>
      </c>
      <c r="B31">
        <f>VLOOKUP(C31,Лист1!$B$1:$N$33,2,0)</f>
        <v>8517620003</v>
      </c>
      <c r="C31" t="s">
        <v>97</v>
      </c>
      <c r="D31" t="str">
        <f>VLOOKUP(C31,Лист1!$B$2:$T$45,14,0)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31">
        <v>9</v>
      </c>
      <c r="F31" s="19">
        <v>1236.75</v>
      </c>
      <c r="G31" s="19">
        <f t="shared" si="1"/>
        <v>11130.75</v>
      </c>
      <c r="H31" t="str">
        <f>VLOOKUP(C31,Лист1!$B$1:$N$33,4,0)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31" t="s">
        <v>15</v>
      </c>
      <c r="J31" t="s">
        <v>18</v>
      </c>
      <c r="K31">
        <v>156</v>
      </c>
      <c r="L31" t="s">
        <v>10</v>
      </c>
      <c r="M31" t="s">
        <v>19</v>
      </c>
      <c r="N31" t="s">
        <v>13</v>
      </c>
      <c r="O31" t="s">
        <v>82</v>
      </c>
      <c r="P31">
        <v>10052</v>
      </c>
      <c r="Q31" t="str">
        <f>VLOOKUP(C31,Лист1!$B$1:$N$33,5,0)</f>
        <v>RU0000033121</v>
      </c>
      <c r="R31" s="4">
        <f>VLOOKUP(C31,Лист1!$B$1:$N$33,6,0)</f>
        <v>42972</v>
      </c>
      <c r="S31" s="4">
        <f>VLOOKUP(C31,Лист1!$B$1:$N$33,7,0)</f>
        <v>42972</v>
      </c>
      <c r="T31" s="4">
        <f>VLOOKUP(C31,Лист1!$B$1:$N$33,8,0)</f>
        <v>44369</v>
      </c>
      <c r="U31" s="10">
        <f>VLOOKUP(C31,Лист1!$B$1:$N$33,9,0)</f>
        <v>4</v>
      </c>
      <c r="V31" s="10">
        <f t="shared" si="2"/>
        <v>36</v>
      </c>
      <c r="W31">
        <v>54</v>
      </c>
      <c r="X31" s="1">
        <v>61.79</v>
      </c>
      <c r="Y31" s="1" t="s">
        <v>78</v>
      </c>
      <c r="Z31" s="3" t="s">
        <v>48</v>
      </c>
      <c r="AA31" s="2" t="str">
        <f>VLOOKUP(C31,Лист1!$B$1:$N$33,10,0)</f>
        <v>ЕАЭС N RU Д-CN.КА01.В.17403/19</v>
      </c>
      <c r="AB31" s="2">
        <f>VLOOKUP(C31,Лист1!$B$1:$N$33,11,0)</f>
        <v>43787</v>
      </c>
      <c r="AC31" s="2">
        <f>VLOOKUP(C31,Лист1!$B$1:$N$33,12,0)</f>
        <v>43787</v>
      </c>
      <c r="AD31" s="2">
        <f>VLOOKUP(C31,Лист1!$B$1:$N$33,13,0)</f>
        <v>45613</v>
      </c>
      <c r="AE31" t="s">
        <v>10</v>
      </c>
      <c r="AF31" t="s">
        <v>119</v>
      </c>
      <c r="AG31" t="s">
        <v>224</v>
      </c>
    </row>
    <row r="32" spans="1:33" hidden="1" x14ac:dyDescent="0.25">
      <c r="A32" s="2" t="s">
        <v>99</v>
      </c>
      <c r="B32">
        <f>VLOOKUP(C32,Лист1!$B$1:$N$33,2,0)</f>
        <v>8517620003</v>
      </c>
      <c r="C32" t="s">
        <v>25</v>
      </c>
      <c r="D32" t="str">
        <f>VLOOKUP(C32,Лист1!$B$2:$T$45,14,0)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32">
        <v>9</v>
      </c>
      <c r="F32" s="19">
        <v>1162.8</v>
      </c>
      <c r="G32" s="19">
        <f t="shared" si="1"/>
        <v>10465.199999999999</v>
      </c>
      <c r="H32" t="str">
        <f>VLOOKUP(C32,Лист1!$B$1:$N$33,4,0)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32" t="s">
        <v>15</v>
      </c>
      <c r="J32" t="s">
        <v>18</v>
      </c>
      <c r="K32">
        <v>156</v>
      </c>
      <c r="L32" t="s">
        <v>10</v>
      </c>
      <c r="M32" t="s">
        <v>19</v>
      </c>
      <c r="N32" t="s">
        <v>13</v>
      </c>
      <c r="O32" t="s">
        <v>82</v>
      </c>
      <c r="P32">
        <v>10052</v>
      </c>
      <c r="Q32" t="str">
        <f>VLOOKUP(C32,Лист1!$B$1:$N$33,5,0)</f>
        <v>RU0000053245</v>
      </c>
      <c r="R32" s="4">
        <f>VLOOKUP(C32,Лист1!$B$1:$N$33,6,0)</f>
        <v>44383</v>
      </c>
      <c r="S32" s="4">
        <f>VLOOKUP(C32,Лист1!$B$1:$N$33,7,0)</f>
        <v>44383</v>
      </c>
      <c r="T32" s="4">
        <f>VLOOKUP(C32,Лист1!$B$1:$N$33,8,0)</f>
        <v>48213</v>
      </c>
      <c r="U32" s="10">
        <f>VLOOKUP(C32,Лист1!$B$1:$N$33,9,0)</f>
        <v>10</v>
      </c>
      <c r="V32" s="10">
        <f t="shared" si="2"/>
        <v>90</v>
      </c>
      <c r="W32">
        <v>65.7</v>
      </c>
      <c r="X32" s="1">
        <f>W32+W32*0.14</f>
        <v>74.897999999999996</v>
      </c>
      <c r="Y32" s="1" t="s">
        <v>78</v>
      </c>
      <c r="Z32" s="3" t="s">
        <v>48</v>
      </c>
      <c r="AA32" s="2" t="str">
        <f>VLOOKUP(C32,Лист1!$B$1:$N$33,10,0)</f>
        <v>ЕАЭС N RU Д-CN.КА01.В.23216/20</v>
      </c>
      <c r="AB32" s="2">
        <f>VLOOKUP(C32,Лист1!$B$1:$N$33,11,0)</f>
        <v>43908</v>
      </c>
      <c r="AC32" s="2">
        <f>VLOOKUP(C32,Лист1!$B$1:$N$33,12,0)</f>
        <v>43908</v>
      </c>
      <c r="AD32" s="2">
        <f>VLOOKUP(C32,Лист1!$B$1:$N$33,13,0)</f>
        <v>45733</v>
      </c>
      <c r="AE32" t="s">
        <v>10</v>
      </c>
      <c r="AF32" t="s">
        <v>119</v>
      </c>
      <c r="AG32" t="s">
        <v>224</v>
      </c>
    </row>
    <row r="33" spans="1:33" hidden="1" x14ac:dyDescent="0.25">
      <c r="A33" s="2" t="s">
        <v>99</v>
      </c>
      <c r="B33">
        <f>VLOOKUP(C33,Лист1!$B$1:$N$33,2,0)</f>
        <v>8517620003</v>
      </c>
      <c r="C33" t="s">
        <v>50</v>
      </c>
      <c r="D33" t="str">
        <f>VLOOKUP(C33,Лист1!$B$2:$T$45,14,0)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33">
        <v>9</v>
      </c>
      <c r="F33" s="19">
        <v>168.3</v>
      </c>
      <c r="G33" s="19">
        <f t="shared" si="1"/>
        <v>1514.7</v>
      </c>
      <c r="H33" t="str">
        <f>VLOOKUP(C33,Лист1!$B$1:$N$33,4,0)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33" t="s">
        <v>15</v>
      </c>
      <c r="J33" t="s">
        <v>18</v>
      </c>
      <c r="K33">
        <v>156</v>
      </c>
      <c r="L33" t="s">
        <v>10</v>
      </c>
      <c r="M33" t="s">
        <v>19</v>
      </c>
      <c r="N33" t="s">
        <v>13</v>
      </c>
      <c r="O33" t="s">
        <v>82</v>
      </c>
      <c r="P33">
        <v>10052</v>
      </c>
      <c r="Q33" t="str">
        <f>VLOOKUP(C33,Лист1!$B$1:$N$33,5,0)</f>
        <v>RU0000053828</v>
      </c>
      <c r="R33" s="4">
        <f>VLOOKUP(C33,Лист1!$B$1:$N$33,6,0)</f>
        <v>44431</v>
      </c>
      <c r="S33" s="4">
        <f>VLOOKUP(C33,Лист1!$B$1:$N$33,7,0)</f>
        <v>44431</v>
      </c>
      <c r="T33" s="4">
        <f>VLOOKUP(C33,Лист1!$B$1:$N$33,8,0)</f>
        <v>48213</v>
      </c>
      <c r="U33" s="10">
        <f>VLOOKUP(C33,Лист1!$B$1:$N$33,9,0)</f>
        <v>0.3</v>
      </c>
      <c r="V33" s="10">
        <f t="shared" si="2"/>
        <v>2.6999999999999997</v>
      </c>
      <c r="W33">
        <v>2.7</v>
      </c>
      <c r="X33" s="1">
        <f>W33+W33*0.14</f>
        <v>3.0780000000000003</v>
      </c>
      <c r="Y33" s="1" t="s">
        <v>78</v>
      </c>
      <c r="Z33" s="3" t="s">
        <v>48</v>
      </c>
      <c r="AE33" t="s">
        <v>10</v>
      </c>
      <c r="AF33" t="s">
        <v>119</v>
      </c>
      <c r="AG33" t="s">
        <v>224</v>
      </c>
    </row>
    <row r="34" spans="1:33" hidden="1" x14ac:dyDescent="0.25">
      <c r="A34" s="2" t="s">
        <v>99</v>
      </c>
      <c r="B34">
        <f>VLOOKUP(C34,Лист1!$B$1:$N$33,2,0)</f>
        <v>8517620003</v>
      </c>
      <c r="C34" t="s">
        <v>98</v>
      </c>
      <c r="D34" t="str">
        <f>VLOOKUP(C34,Лист1!$B$2:$T$45,14,0)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34">
        <v>9</v>
      </c>
      <c r="F34" s="19">
        <v>50.15</v>
      </c>
      <c r="G34" s="19">
        <f t="shared" si="1"/>
        <v>451.34999999999997</v>
      </c>
      <c r="H34" t="str">
        <f>VLOOKUP(C34,Лист1!$B$1:$N$33,4,0)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34" t="s">
        <v>15</v>
      </c>
      <c r="J34" t="s">
        <v>18</v>
      </c>
      <c r="K34">
        <v>156</v>
      </c>
      <c r="L34" t="s">
        <v>10</v>
      </c>
      <c r="M34" t="s">
        <v>19</v>
      </c>
      <c r="N34" t="s">
        <v>13</v>
      </c>
      <c r="O34" t="s">
        <v>82</v>
      </c>
      <c r="P34">
        <v>10052</v>
      </c>
      <c r="Q34" t="str">
        <f>VLOOKUP(C34,Лист1!$B$1:$N$33,5,0)</f>
        <v>RU0000053828</v>
      </c>
      <c r="R34" s="4">
        <f>VLOOKUP(C34,Лист1!$B$1:$N$33,6,0)</f>
        <v>44431</v>
      </c>
      <c r="S34" s="4">
        <f>VLOOKUP(C34,Лист1!$B$1:$N$33,7,0)</f>
        <v>44431</v>
      </c>
      <c r="T34" s="4">
        <f>VLOOKUP(C34,Лист1!$B$1:$N$33,8,0)</f>
        <v>48213</v>
      </c>
      <c r="U34" s="10">
        <f>VLOOKUP(C34,Лист1!$B$1:$N$33,9,0)</f>
        <v>0.3</v>
      </c>
      <c r="V34" s="10">
        <f t="shared" si="2"/>
        <v>2.6999999999999997</v>
      </c>
      <c r="W34">
        <v>2.7</v>
      </c>
      <c r="X34" s="1">
        <f>W34+W34*0.14</f>
        <v>3.0780000000000003</v>
      </c>
      <c r="Y34" s="1" t="s">
        <v>78</v>
      </c>
      <c r="Z34" s="3" t="s">
        <v>48</v>
      </c>
      <c r="AE34" t="s">
        <v>10</v>
      </c>
      <c r="AF34" t="s">
        <v>119</v>
      </c>
      <c r="AG34" t="s">
        <v>224</v>
      </c>
    </row>
    <row r="35" spans="1:33" hidden="1" x14ac:dyDescent="0.25">
      <c r="A35" s="2" t="s">
        <v>99</v>
      </c>
      <c r="B35">
        <f>VLOOKUP(C35,Лист1!$B$1:$N$33,2,0)</f>
        <v>8517620003</v>
      </c>
      <c r="C35" t="s">
        <v>51</v>
      </c>
      <c r="D35" t="str">
        <f>VLOOKUP(C35,Лист1!$B$2:$T$45,14,0)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35">
        <v>18</v>
      </c>
      <c r="F35" s="19">
        <v>224.4</v>
      </c>
      <c r="G35" s="19">
        <f t="shared" si="1"/>
        <v>4039.2000000000003</v>
      </c>
      <c r="H35" t="str">
        <f>VLOOKUP(C35,Лист1!$B$1:$N$33,4,0)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35" t="s">
        <v>15</v>
      </c>
      <c r="J35" t="s">
        <v>18</v>
      </c>
      <c r="K35">
        <v>156</v>
      </c>
      <c r="L35" t="s">
        <v>10</v>
      </c>
      <c r="M35" t="s">
        <v>19</v>
      </c>
      <c r="N35" t="s">
        <v>13</v>
      </c>
      <c r="O35" t="s">
        <v>82</v>
      </c>
      <c r="P35">
        <v>10052</v>
      </c>
      <c r="Q35" t="str">
        <f>VLOOKUP(C35,Лист1!$B$1:$N$33,5,0)</f>
        <v>RU0000053828</v>
      </c>
      <c r="R35" s="4">
        <f>VLOOKUP(C35,Лист1!$B$1:$N$33,6,0)</f>
        <v>44431</v>
      </c>
      <c r="S35" s="4">
        <f>VLOOKUP(C35,Лист1!$B$1:$N$33,7,0)</f>
        <v>44431</v>
      </c>
      <c r="T35" s="4">
        <f>VLOOKUP(C35,Лист1!$B$1:$N$33,8,0)</f>
        <v>48213</v>
      </c>
      <c r="U35" s="10">
        <f>VLOOKUP(C35,Лист1!$B$1:$N$33,9,0)</f>
        <v>0.3</v>
      </c>
      <c r="V35" s="10">
        <f t="shared" si="2"/>
        <v>5.3999999999999995</v>
      </c>
      <c r="W35">
        <v>5.4</v>
      </c>
      <c r="X35" s="1">
        <f>W35+W35*0.14</f>
        <v>6.1560000000000006</v>
      </c>
      <c r="Y35" s="1" t="s">
        <v>78</v>
      </c>
      <c r="Z35" s="3" t="s">
        <v>48</v>
      </c>
      <c r="AE35" t="s">
        <v>10</v>
      </c>
      <c r="AF35" t="s">
        <v>119</v>
      </c>
      <c r="AG35" t="s">
        <v>224</v>
      </c>
    </row>
    <row r="36" spans="1:33" hidden="1" x14ac:dyDescent="0.25">
      <c r="A36" s="2">
        <v>44158</v>
      </c>
      <c r="B36">
        <f>VLOOKUP(C36,Лист1!$B$1:$N$33,2,0)</f>
        <v>8517620003</v>
      </c>
      <c r="C36" t="s">
        <v>110</v>
      </c>
      <c r="D36" t="str">
        <f>VLOOKUP(C36,Лист1!$B$2:$T$45,14,0)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36">
        <v>6</v>
      </c>
      <c r="F36" s="19">
        <v>569.07000000000005</v>
      </c>
      <c r="G36" s="19">
        <f t="shared" si="1"/>
        <v>3414.42</v>
      </c>
      <c r="H36" t="str">
        <f>VLOOKUP(C36,Лист1!$B$1:$N$33,4,0)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36" t="s">
        <v>15</v>
      </c>
      <c r="J36" t="s">
        <v>18</v>
      </c>
      <c r="K36">
        <v>156</v>
      </c>
      <c r="L36" t="s">
        <v>10</v>
      </c>
      <c r="M36" t="s">
        <v>19</v>
      </c>
      <c r="N36" t="s">
        <v>13</v>
      </c>
      <c r="O36" t="s">
        <v>82</v>
      </c>
      <c r="P36">
        <v>10052</v>
      </c>
      <c r="Q36" t="str">
        <f>VLOOKUP(C36,Лист1!$B$1:$N$33,5,0)</f>
        <v>RU0000049918</v>
      </c>
      <c r="R36" s="4">
        <f>VLOOKUP(C36,Лист1!$B$1:$N$33,6,0)</f>
        <v>44099</v>
      </c>
      <c r="S36" s="4">
        <f>VLOOKUP(C36,Лист1!$B$1:$N$33,7,0)</f>
        <v>44099</v>
      </c>
      <c r="T36" s="4">
        <f>VLOOKUP(C36,Лист1!$B$1:$N$33,8,0)</f>
        <v>47848</v>
      </c>
      <c r="U36" s="10">
        <f>VLOOKUP(C36,Лист1!$B$1:$N$33,9,0)</f>
        <v>1.5</v>
      </c>
      <c r="V36" s="10">
        <f t="shared" si="2"/>
        <v>9</v>
      </c>
      <c r="W36">
        <v>9.6</v>
      </c>
      <c r="X36" s="1">
        <v>11.04</v>
      </c>
      <c r="Y36" s="1" t="s">
        <v>78</v>
      </c>
      <c r="Z36" s="3" t="s">
        <v>48</v>
      </c>
      <c r="AE36" t="s">
        <v>10</v>
      </c>
      <c r="AF36" t="s">
        <v>120</v>
      </c>
      <c r="AG36" t="s">
        <v>224</v>
      </c>
    </row>
    <row r="37" spans="1:33" hidden="1" x14ac:dyDescent="0.25">
      <c r="A37" s="2">
        <v>44158</v>
      </c>
      <c r="B37">
        <f>VLOOKUP(C37,Лист1!$B$1:$N$33,2,0)</f>
        <v>8517620003</v>
      </c>
      <c r="C37" t="s">
        <v>107</v>
      </c>
      <c r="D37" t="str">
        <f>VLOOKUP(C37,Лист1!$B$2:$T$45,14,0)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37">
        <v>2</v>
      </c>
      <c r="F37" s="19">
        <v>331</v>
      </c>
      <c r="G37" s="19">
        <f t="shared" si="1"/>
        <v>662</v>
      </c>
      <c r="H37" t="str">
        <f>VLOOKUP(C37,Лист1!$B$1:$N$33,4,0)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37" t="s">
        <v>15</v>
      </c>
      <c r="J37" t="s">
        <v>18</v>
      </c>
      <c r="K37">
        <v>156</v>
      </c>
      <c r="L37" t="s">
        <v>10</v>
      </c>
      <c r="M37" t="s">
        <v>19</v>
      </c>
      <c r="N37" t="s">
        <v>13</v>
      </c>
      <c r="O37" t="s">
        <v>82</v>
      </c>
      <c r="P37">
        <v>10052</v>
      </c>
      <c r="Q37" t="str">
        <f>VLOOKUP(C37,Лист1!$B$1:$N$33,5,0)</f>
        <v>RU0000033118</v>
      </c>
      <c r="R37" s="4">
        <f>VLOOKUP(C37,Лист1!$B$1:$N$33,6,0)</f>
        <v>42972</v>
      </c>
      <c r="S37" s="4">
        <f>VLOOKUP(C37,Лист1!$B$1:$N$33,7,0)</f>
        <v>42972</v>
      </c>
      <c r="T37" s="4">
        <f>VLOOKUP(C37,Лист1!$B$1:$N$33,8,0)</f>
        <v>44369</v>
      </c>
      <c r="U37" s="10">
        <f>VLOOKUP(C37,Лист1!$B$1:$N$33,9,0)</f>
        <v>0.76</v>
      </c>
      <c r="V37" s="10">
        <f t="shared" si="2"/>
        <v>1.52</v>
      </c>
      <c r="W37">
        <v>2.6</v>
      </c>
      <c r="X37" s="1">
        <v>2.9925999999999999</v>
      </c>
      <c r="Y37" s="1" t="s">
        <v>78</v>
      </c>
      <c r="Z37" s="3" t="s">
        <v>48</v>
      </c>
      <c r="AA37" s="2" t="str">
        <f>VLOOKUP(C37,Лист1!$B$1:$N$33,10,0)</f>
        <v>ЕАЭС N RU Д-CN.НВ54.В.04091/20</v>
      </c>
      <c r="AB37" s="2">
        <f>VLOOKUP(C37,Лист1!$B$1:$N$33,11,0)</f>
        <v>44166</v>
      </c>
      <c r="AC37" s="2">
        <f>VLOOKUP(C37,Лист1!$B$1:$N$33,12,0)</f>
        <v>44167</v>
      </c>
      <c r="AD37" s="2">
        <f>VLOOKUP(C37,Лист1!$B$1:$N$33,13,0)</f>
        <v>45992</v>
      </c>
      <c r="AE37" t="s">
        <v>10</v>
      </c>
      <c r="AF37" t="s">
        <v>120</v>
      </c>
      <c r="AG37" t="s">
        <v>224</v>
      </c>
    </row>
    <row r="38" spans="1:33" hidden="1" x14ac:dyDescent="0.25">
      <c r="A38" s="2">
        <v>44158</v>
      </c>
      <c r="B38">
        <f>VLOOKUP(C38,Лист1!$B$1:$N$33,2,0)</f>
        <v>8517620003</v>
      </c>
      <c r="C38" t="s">
        <v>108</v>
      </c>
      <c r="D38" t="str">
        <f>VLOOKUP(C38,Лист1!$B$2:$T$45,14,0)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38">
        <v>1</v>
      </c>
      <c r="F38" s="19">
        <v>424.5</v>
      </c>
      <c r="G38" s="19">
        <f t="shared" si="1"/>
        <v>424.5</v>
      </c>
      <c r="H38" t="str">
        <f>VLOOKUP(C38,Лист1!$B$1:$N$33,4,0)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38" t="s">
        <v>15</v>
      </c>
      <c r="J38" t="s">
        <v>18</v>
      </c>
      <c r="K38">
        <v>156</v>
      </c>
      <c r="L38" t="s">
        <v>10</v>
      </c>
      <c r="M38" t="s">
        <v>19</v>
      </c>
      <c r="N38" t="s">
        <v>13</v>
      </c>
      <c r="O38" t="s">
        <v>82</v>
      </c>
      <c r="P38">
        <v>10052</v>
      </c>
      <c r="Q38" t="str">
        <f>VLOOKUP(C38,Лист1!$B$1:$N$33,5,0)</f>
        <v>RU0000049917</v>
      </c>
      <c r="R38" s="4">
        <f>VLOOKUP(C38,Лист1!$B$1:$N$33,6,0)</f>
        <v>44099</v>
      </c>
      <c r="S38" s="4">
        <f>VLOOKUP(C38,Лист1!$B$1:$N$33,7,0)</f>
        <v>44099</v>
      </c>
      <c r="T38" s="4">
        <f>VLOOKUP(C38,Лист1!$B$1:$N$33,8,0)</f>
        <v>47848</v>
      </c>
      <c r="U38" s="10">
        <f>VLOOKUP(C38,Лист1!$B$1:$N$33,9,0)</f>
        <v>1.1000000000000001</v>
      </c>
      <c r="V38" s="10">
        <f t="shared" si="2"/>
        <v>1.1000000000000001</v>
      </c>
      <c r="W38">
        <v>1.5</v>
      </c>
      <c r="X38" s="1">
        <v>1.7264999999999999</v>
      </c>
      <c r="Y38" s="1" t="s">
        <v>78</v>
      </c>
      <c r="Z38" s="3" t="s">
        <v>48</v>
      </c>
      <c r="AE38" t="s">
        <v>10</v>
      </c>
      <c r="AF38" t="s">
        <v>120</v>
      </c>
      <c r="AG38" t="s">
        <v>224</v>
      </c>
    </row>
    <row r="39" spans="1:33" hidden="1" x14ac:dyDescent="0.25">
      <c r="A39" s="2">
        <v>44158</v>
      </c>
      <c r="B39">
        <f>VLOOKUP(C39,Лист1!$B$1:$N$33,2,0)</f>
        <v>8517620003</v>
      </c>
      <c r="C39" t="s">
        <v>89</v>
      </c>
      <c r="D39" t="str">
        <f>VLOOKUP(C39,Лист1!$B$2:$T$45,14,0)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39">
        <v>2</v>
      </c>
      <c r="F39" s="19">
        <v>229.5</v>
      </c>
      <c r="G39" s="19">
        <f t="shared" si="1"/>
        <v>459</v>
      </c>
      <c r="H39" t="str">
        <f>VLOOKUP(C39,Лист1!$B$1:$N$33,4,0)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39" t="s">
        <v>15</v>
      </c>
      <c r="J39" t="s">
        <v>18</v>
      </c>
      <c r="K39">
        <v>156</v>
      </c>
      <c r="L39" t="s">
        <v>10</v>
      </c>
      <c r="M39" t="s">
        <v>19</v>
      </c>
      <c r="N39" t="s">
        <v>13</v>
      </c>
      <c r="O39" t="s">
        <v>82</v>
      </c>
      <c r="P39">
        <v>10052</v>
      </c>
      <c r="Q39" t="str">
        <f>VLOOKUP(C39,Лист1!$B$1:$N$33,5,0)</f>
        <v>RU0000049917</v>
      </c>
      <c r="R39" s="4">
        <f>VLOOKUP(C39,Лист1!$B$1:$N$33,6,0)</f>
        <v>44099</v>
      </c>
      <c r="S39" s="4">
        <f>VLOOKUP(C39,Лист1!$B$1:$N$33,7,0)</f>
        <v>44099</v>
      </c>
      <c r="T39" s="4">
        <f>VLOOKUP(C39,Лист1!$B$1:$N$33,8,0)</f>
        <v>47848</v>
      </c>
      <c r="U39" s="10">
        <f>VLOOKUP(C39,Лист1!$B$1:$N$33,9,0)</f>
        <v>1.1000000000000001</v>
      </c>
      <c r="V39" s="10">
        <f t="shared" si="2"/>
        <v>2.2000000000000002</v>
      </c>
      <c r="W39">
        <v>3</v>
      </c>
      <c r="X39" s="1">
        <v>3.4529999999999998</v>
      </c>
      <c r="Y39" s="1" t="s">
        <v>78</v>
      </c>
      <c r="Z39" s="3" t="s">
        <v>48</v>
      </c>
      <c r="AE39" t="s">
        <v>10</v>
      </c>
      <c r="AF39" t="s">
        <v>120</v>
      </c>
      <c r="AG39" t="s">
        <v>224</v>
      </c>
    </row>
    <row r="40" spans="1:33" ht="67.5" hidden="1" customHeight="1" x14ac:dyDescent="0.25">
      <c r="A40" s="2">
        <v>44158</v>
      </c>
      <c r="B40">
        <f>VLOOKUP(C40,Лист1!$B$1:$N$33,2,0)</f>
        <v>8517620003</v>
      </c>
      <c r="C40" t="s">
        <v>109</v>
      </c>
      <c r="D40" t="str">
        <f>VLOOKUP(C40,Лист1!$B$2:$T$45,14,0)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40">
        <v>16</v>
      </c>
      <c r="F40" s="19">
        <v>90</v>
      </c>
      <c r="G40" s="19">
        <f t="shared" si="1"/>
        <v>1440</v>
      </c>
      <c r="H40" t="str">
        <f>VLOOKUP(C40,Лист1!$B$1:$N$33,4,0)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40" t="s">
        <v>15</v>
      </c>
      <c r="J40" t="s">
        <v>18</v>
      </c>
      <c r="K40">
        <v>156</v>
      </c>
      <c r="L40" t="s">
        <v>10</v>
      </c>
      <c r="M40" t="s">
        <v>19</v>
      </c>
      <c r="N40" t="s">
        <v>13</v>
      </c>
      <c r="O40" t="s">
        <v>82</v>
      </c>
      <c r="P40">
        <v>10052</v>
      </c>
      <c r="Q40" t="str">
        <f>VLOOKUP(C40,Лист1!$B$1:$N$33,5,0)</f>
        <v>RU0000032871</v>
      </c>
      <c r="R40" s="4">
        <f>VLOOKUP(C40,Лист1!$B$1:$N$33,6,0)</f>
        <v>42958</v>
      </c>
      <c r="S40" s="4">
        <f>VLOOKUP(C40,Лист1!$B$1:$N$33,7,0)</f>
        <v>42958</v>
      </c>
      <c r="T40" s="4">
        <f>VLOOKUP(C40,Лист1!$B$1:$N$33,8,0)</f>
        <v>44369</v>
      </c>
      <c r="U40" s="10">
        <f>VLOOKUP(C40,Лист1!$B$1:$N$33,9,0)</f>
        <v>0.3</v>
      </c>
      <c r="V40" s="10">
        <f t="shared" si="2"/>
        <v>4.8</v>
      </c>
      <c r="W40">
        <v>12.8</v>
      </c>
      <c r="X40" s="1">
        <v>14.79</v>
      </c>
      <c r="Y40" s="1" t="s">
        <v>78</v>
      </c>
      <c r="Z40" s="3" t="s">
        <v>48</v>
      </c>
      <c r="AE40" t="s">
        <v>10</v>
      </c>
      <c r="AF40" t="s">
        <v>120</v>
      </c>
      <c r="AG40" t="s">
        <v>224</v>
      </c>
    </row>
    <row r="41" spans="1:33" ht="24" hidden="1" customHeight="1" x14ac:dyDescent="0.25">
      <c r="A41" s="2">
        <v>44216</v>
      </c>
      <c r="B41">
        <f>VLOOKUP(C41,Лист1!$B$1:$N$33,2,0)</f>
        <v>8517620002</v>
      </c>
      <c r="C41" t="s">
        <v>114</v>
      </c>
      <c r="D41" t="str">
        <f>VLOOKUP(C41,Лист1!$B$2:$T$45,14,0)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41">
        <v>1</v>
      </c>
      <c r="F41" s="19">
        <v>1247.46</v>
      </c>
      <c r="G41" s="19">
        <f t="shared" si="1"/>
        <v>1247.46</v>
      </c>
      <c r="H41" s="5" t="str">
        <f>VLOOKUP(C41,Лист1!$B$1:$N$33,4,0)</f>
        <v xml:space="preserve">SICOM3028GPT-L2GT-MB-HV-HV-S - промышленные коммутаторы с широким спектром сфер применния и модульным дизайном для простоты масштабирования и расширения функционала устройства. Модели SICOM3028GPT-L2GT могут иметь до 28 гигабитных портов, а модели SICOM3028GPT-L2GT-MB-HV-HV-S до 24 портов 100 Мбит/с и до 4 гигабитных портов.. Устройства оборудованы PTP-картой для поддержки синхронизации времени (IEEE1588v2) на всех 28 портах устройства.
Коммутаторы крепятся в 19-дюймовую стойку (занимают 1U), крепятся передней или задней панелью. Устройства соответствуют IEC61850-3 и IEEE1613 для электроподстанций, имеют консольный Mini USB порт, соответствуют IEC62439-6, поддерживаюют VCT (Virtual Cable Test). Диапазон рабочих температур коммутаторов SICOM3028GPT-L2GT от -40° до +85°.
Протоколы
DT-Ring, DT-Ring+, MSTP, DRP; IGMP Snooping, GMRP;
VLAN, GVRP, PVLAN;
Telnet, HTTP, HTTPS, SNMPv1/v2/v3, RMON, LLDP, Bootp, DHCP server/relay/client, DHCP Option 82;
SNTP, PTP, RTC;
SSH, SSL, TACACS+, RADIUS, ACL; Syslog;
ARP, Modbus TCP, QoS, LACP
PRP, HSR
Длина волны
1310нм (одномод), 1550нм (одномод), 1310 (многомод)
Расстояние передачи
10~80км (одномод) , до 5 км (100M многомод) , до 2 км (1000M многомод)
Тип коннектора
Питание
Напряжение питания
Резервированное: 220Вольт переменного напряжения/Вольт постоянного напряжения (77-300VDC/85-264VAC)
Потребляемая мощность
До 42 Вт
Механические характеристики
Размеры
482.6мм x 44мм x 360мм
Крепление
19” стойка
Класс защиты
IP40
Рабочая температура
от -40 до +85С
Температура хранения
-40 до +85C
Влажность
от 5 до 95% (без конденсата)
MTBF
359000 часов
Гарантия
5 лет
</v>
      </c>
      <c r="I41" t="s">
        <v>15</v>
      </c>
      <c r="J41" t="s">
        <v>18</v>
      </c>
      <c r="K41">
        <v>156</v>
      </c>
      <c r="L41" t="s">
        <v>10</v>
      </c>
      <c r="M41" t="s">
        <v>19</v>
      </c>
      <c r="N41" t="s">
        <v>13</v>
      </c>
      <c r="O41" t="s">
        <v>82</v>
      </c>
      <c r="P41">
        <v>10052</v>
      </c>
      <c r="Q41" t="str">
        <f>VLOOKUP(C41,Лист1!$B$1:$N$33,5,0)</f>
        <v>RU0000053245</v>
      </c>
      <c r="R41" s="4">
        <f>VLOOKUP(C41,Лист1!$B$1:$N$33,6,0)</f>
        <v>44383</v>
      </c>
      <c r="S41" s="4">
        <f>VLOOKUP(C41,Лист1!$B$1:$N$33,7,0)</f>
        <v>44383</v>
      </c>
      <c r="T41" s="4">
        <f>VLOOKUP(C41,Лист1!$B$1:$N$33,8,0)</f>
        <v>48213</v>
      </c>
      <c r="U41" s="10">
        <f>VLOOKUP(C41,Лист1!$B$1:$N$33,9,0)</f>
        <v>10</v>
      </c>
      <c r="V41" s="10">
        <f t="shared" si="2"/>
        <v>10</v>
      </c>
      <c r="W41">
        <v>8</v>
      </c>
      <c r="X41" s="1">
        <v>8.89</v>
      </c>
      <c r="Y41" s="1" t="s">
        <v>78</v>
      </c>
      <c r="Z41" s="3" t="s">
        <v>48</v>
      </c>
      <c r="AA41" s="2" t="str">
        <f>VLOOKUP(C41,Лист1!$B$1:$N$33,10,0)</f>
        <v>ЕАЭС N RU Д-CN.КА01.В.23216/20</v>
      </c>
      <c r="AB41" s="2">
        <f>VLOOKUP(C41,Лист1!$B$1:$N$33,11,0)</f>
        <v>43908</v>
      </c>
      <c r="AC41" s="2">
        <f>VLOOKUP(C41,Лист1!$B$1:$N$33,12,0)</f>
        <v>43908</v>
      </c>
      <c r="AD41" s="2">
        <f>VLOOKUP(C41,Лист1!$B$1:$N$33,13,0)</f>
        <v>45733</v>
      </c>
      <c r="AE41" t="s">
        <v>10</v>
      </c>
      <c r="AF41" t="s">
        <v>121</v>
      </c>
      <c r="AG41" t="s">
        <v>224</v>
      </c>
    </row>
    <row r="42" spans="1:33" hidden="1" x14ac:dyDescent="0.25">
      <c r="A42" s="2">
        <v>44216</v>
      </c>
      <c r="B42">
        <f>VLOOKUP(C42,Лист1!$B$1:$N$33,2,0)</f>
        <v>8517620003</v>
      </c>
      <c r="C42" t="s">
        <v>74</v>
      </c>
      <c r="D42" t="str">
        <f>VLOOKUP(C42,Лист1!$B$2:$T$45,14,0)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42">
        <v>1</v>
      </c>
      <c r="F42" s="19">
        <v>168.64</v>
      </c>
      <c r="G42" s="19">
        <f t="shared" si="1"/>
        <v>168.64</v>
      </c>
      <c r="H42" t="str">
        <f>VLOOKUP(C42,Лист1!$B$1:$N$33,4,0)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42" t="s">
        <v>15</v>
      </c>
      <c r="J42" t="s">
        <v>18</v>
      </c>
      <c r="K42">
        <v>156</v>
      </c>
      <c r="L42" t="s">
        <v>10</v>
      </c>
      <c r="M42" t="s">
        <v>19</v>
      </c>
      <c r="N42" t="s">
        <v>13</v>
      </c>
      <c r="O42" t="s">
        <v>82</v>
      </c>
      <c r="P42">
        <v>10052</v>
      </c>
      <c r="Q42" t="str">
        <f>VLOOKUP(C42,Лист1!$B$1:$N$33,5,0)</f>
        <v>RU0000053828</v>
      </c>
      <c r="R42" s="4">
        <f>VLOOKUP(C42,Лист1!$B$1:$N$33,6,0)</f>
        <v>44431</v>
      </c>
      <c r="S42" s="4">
        <f>VLOOKUP(C42,Лист1!$B$1:$N$33,7,0)</f>
        <v>44431</v>
      </c>
      <c r="T42" s="4">
        <f>VLOOKUP(C42,Лист1!$B$1:$N$33,8,0)</f>
        <v>48213</v>
      </c>
      <c r="U42" s="10">
        <f>VLOOKUP(C42,Лист1!$B$1:$N$33,9,0)</f>
        <v>0.3</v>
      </c>
      <c r="V42" s="10">
        <f t="shared" si="2"/>
        <v>0.3</v>
      </c>
      <c r="W42">
        <v>0.4</v>
      </c>
      <c r="X42" s="1">
        <f>W42+W42*0.11</f>
        <v>0.44400000000000001</v>
      </c>
      <c r="Y42" s="1" t="s">
        <v>78</v>
      </c>
      <c r="Z42" s="3" t="s">
        <v>48</v>
      </c>
      <c r="AE42" t="s">
        <v>10</v>
      </c>
      <c r="AF42" t="s">
        <v>121</v>
      </c>
      <c r="AG42" t="s">
        <v>224</v>
      </c>
    </row>
    <row r="43" spans="1:33" hidden="1" x14ac:dyDescent="0.25">
      <c r="A43" s="2">
        <v>44216</v>
      </c>
      <c r="B43">
        <f>VLOOKUP(C43,Лист1!$B$1:$N$33,2,0)</f>
        <v>8517620003</v>
      </c>
      <c r="C43" t="s">
        <v>27</v>
      </c>
      <c r="D43" t="str">
        <f>VLOOKUP(C43,Лист1!$B$2:$T$45,14,0)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43">
        <v>1</v>
      </c>
      <c r="F43" s="19">
        <v>168.64</v>
      </c>
      <c r="G43" s="19">
        <f t="shared" si="1"/>
        <v>168.64</v>
      </c>
      <c r="H43" t="str">
        <f>VLOOKUP(C43,Лист1!$B$1:$N$33,4,0)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43" t="s">
        <v>15</v>
      </c>
      <c r="J43" t="s">
        <v>18</v>
      </c>
      <c r="K43">
        <v>156</v>
      </c>
      <c r="L43" t="s">
        <v>10</v>
      </c>
      <c r="M43" t="s">
        <v>19</v>
      </c>
      <c r="N43" t="s">
        <v>13</v>
      </c>
      <c r="O43" t="s">
        <v>82</v>
      </c>
      <c r="P43">
        <v>10052</v>
      </c>
      <c r="Q43" t="str">
        <f>VLOOKUP(C43,Лист1!$B$1:$N$33,5,0)</f>
        <v>RU0000053828</v>
      </c>
      <c r="R43" s="4">
        <f>VLOOKUP(C43,Лист1!$B$1:$N$33,6,0)</f>
        <v>44431</v>
      </c>
      <c r="S43" s="4">
        <f>VLOOKUP(C43,Лист1!$B$1:$N$33,7,0)</f>
        <v>44431</v>
      </c>
      <c r="T43" s="4">
        <f>VLOOKUP(C43,Лист1!$B$1:$N$33,8,0)</f>
        <v>48213</v>
      </c>
      <c r="U43" s="10">
        <f>VLOOKUP(C43,Лист1!$B$1:$N$33,9,0)</f>
        <v>0.3</v>
      </c>
      <c r="V43" s="10">
        <f t="shared" si="2"/>
        <v>0.3</v>
      </c>
      <c r="W43">
        <v>0.4</v>
      </c>
      <c r="X43" s="1">
        <f>W43+W43*0.11</f>
        <v>0.44400000000000001</v>
      </c>
      <c r="Y43" s="1" t="s">
        <v>78</v>
      </c>
      <c r="Z43" s="3" t="s">
        <v>48</v>
      </c>
      <c r="AE43" t="s">
        <v>10</v>
      </c>
      <c r="AF43" t="s">
        <v>121</v>
      </c>
      <c r="AG43" t="s">
        <v>224</v>
      </c>
    </row>
    <row r="44" spans="1:33" hidden="1" x14ac:dyDescent="0.25">
      <c r="A44" s="2">
        <v>44216</v>
      </c>
      <c r="B44">
        <f>VLOOKUP(C44,Лист1!$B$1:$N$33,2,0)</f>
        <v>8517620003</v>
      </c>
      <c r="C44" t="s">
        <v>28</v>
      </c>
      <c r="D44" t="str">
        <f>VLOOKUP(C44,Лист1!$B$2:$T$45,14,0)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44">
        <v>5</v>
      </c>
      <c r="F44" s="19">
        <v>168.64</v>
      </c>
      <c r="G44" s="19">
        <f t="shared" si="1"/>
        <v>843.19999999999993</v>
      </c>
      <c r="H44" t="str">
        <f>VLOOKUP(C44,Лист1!$B$1:$N$33,4,0)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44" t="s">
        <v>15</v>
      </c>
      <c r="J44" t="s">
        <v>18</v>
      </c>
      <c r="K44">
        <v>156</v>
      </c>
      <c r="L44" t="s">
        <v>10</v>
      </c>
      <c r="M44" t="s">
        <v>19</v>
      </c>
      <c r="N44" t="s">
        <v>13</v>
      </c>
      <c r="O44" t="s">
        <v>82</v>
      </c>
      <c r="P44">
        <v>10052</v>
      </c>
      <c r="Q44" t="str">
        <f>VLOOKUP(C44,Лист1!$B$1:$N$33,5,0)</f>
        <v>RU0000053828</v>
      </c>
      <c r="R44" s="4">
        <f>VLOOKUP(C44,Лист1!$B$1:$N$33,6,0)</f>
        <v>44431</v>
      </c>
      <c r="S44" s="4">
        <f>VLOOKUP(C44,Лист1!$B$1:$N$33,7,0)</f>
        <v>44431</v>
      </c>
      <c r="T44" s="4">
        <f>VLOOKUP(C44,Лист1!$B$1:$N$33,8,0)</f>
        <v>48213</v>
      </c>
      <c r="U44" s="10">
        <f>VLOOKUP(C44,Лист1!$B$1:$N$33,9,0)</f>
        <v>0.3</v>
      </c>
      <c r="V44" s="10">
        <f t="shared" si="2"/>
        <v>1.5</v>
      </c>
      <c r="W44">
        <v>2</v>
      </c>
      <c r="X44" s="1">
        <f>W44+W44*0.11</f>
        <v>2.2200000000000002</v>
      </c>
      <c r="Y44" s="1" t="s">
        <v>78</v>
      </c>
      <c r="Z44" s="3" t="s">
        <v>48</v>
      </c>
      <c r="AE44" t="s">
        <v>10</v>
      </c>
      <c r="AF44" t="s">
        <v>121</v>
      </c>
      <c r="AG44" t="s">
        <v>224</v>
      </c>
    </row>
    <row r="45" spans="1:33" hidden="1" x14ac:dyDescent="0.25">
      <c r="A45" s="2">
        <v>44229</v>
      </c>
      <c r="B45">
        <f>VLOOKUP(C45,Лист1!$B$1:$N$33,2,0)</f>
        <v>8517620003</v>
      </c>
      <c r="C45" t="s">
        <v>115</v>
      </c>
      <c r="D45" t="str">
        <f>VLOOKUP(C45,Лист1!$B$2:$T$45,14,0)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45">
        <v>2</v>
      </c>
      <c r="F45" s="19">
        <v>264</v>
      </c>
      <c r="G45" s="19">
        <f t="shared" si="1"/>
        <v>528</v>
      </c>
      <c r="H45" t="str">
        <f>VLOOKUP(C45,Лист1!$B$1:$N$33,4,0)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45" t="s">
        <v>15</v>
      </c>
      <c r="J45" t="s">
        <v>18</v>
      </c>
      <c r="K45">
        <v>156</v>
      </c>
      <c r="L45" t="s">
        <v>10</v>
      </c>
      <c r="M45" t="s">
        <v>19</v>
      </c>
      <c r="N45" t="s">
        <v>13</v>
      </c>
      <c r="O45" t="s">
        <v>82</v>
      </c>
      <c r="P45">
        <v>10052</v>
      </c>
      <c r="Q45" t="str">
        <f>VLOOKUP(C45,Лист1!$B$1:$N$33,5,0)</f>
        <v>RU0000053828</v>
      </c>
      <c r="R45" s="4">
        <f>VLOOKUP(C45,Лист1!$B$1:$N$33,6,0)</f>
        <v>44431</v>
      </c>
      <c r="S45" s="4">
        <f>VLOOKUP(C45,Лист1!$B$1:$N$33,7,0)</f>
        <v>44431</v>
      </c>
      <c r="T45" s="4">
        <f>VLOOKUP(C45,Лист1!$B$1:$N$33,8,0)</f>
        <v>48213</v>
      </c>
      <c r="U45" s="10">
        <f>VLOOKUP(C45,Лист1!$B$1:$N$33,9,0)</f>
        <v>0.3</v>
      </c>
      <c r="V45" s="10">
        <f t="shared" si="2"/>
        <v>0.6</v>
      </c>
      <c r="W45">
        <v>0.6</v>
      </c>
      <c r="X45" s="1">
        <v>0.67499999999999993</v>
      </c>
      <c r="Y45" s="1" t="s">
        <v>78</v>
      </c>
      <c r="Z45" s="3" t="s">
        <v>48</v>
      </c>
      <c r="AE45" t="s">
        <v>10</v>
      </c>
      <c r="AF45" t="s">
        <v>124</v>
      </c>
      <c r="AG45" t="s">
        <v>224</v>
      </c>
    </row>
    <row r="46" spans="1:33" hidden="1" x14ac:dyDescent="0.25">
      <c r="A46" s="2">
        <v>44229</v>
      </c>
      <c r="B46">
        <f>VLOOKUP(C46,Лист1!$B$1:$N$33,2,0)</f>
        <v>8517620003</v>
      </c>
      <c r="C46" t="s">
        <v>116</v>
      </c>
      <c r="D46" t="str">
        <f>VLOOKUP(C46,Лист1!$B$2:$T$45,14,0)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46">
        <v>1</v>
      </c>
      <c r="F46" s="19">
        <v>1568</v>
      </c>
      <c r="G46" s="19">
        <f t="shared" si="1"/>
        <v>1568</v>
      </c>
      <c r="H46" t="str">
        <f>VLOOKUP(C46,Лист1!$B$1:$N$33,4,0)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46" t="s">
        <v>15</v>
      </c>
      <c r="J46" t="s">
        <v>18</v>
      </c>
      <c r="K46">
        <v>156</v>
      </c>
      <c r="L46" t="s">
        <v>10</v>
      </c>
      <c r="M46" t="s">
        <v>19</v>
      </c>
      <c r="N46" t="s">
        <v>13</v>
      </c>
      <c r="O46" t="s">
        <v>82</v>
      </c>
      <c r="P46">
        <v>10052</v>
      </c>
      <c r="Q46" t="str">
        <f>VLOOKUP(C46,Лист1!$B$1:$N$33,5,0)</f>
        <v>RU0000053245</v>
      </c>
      <c r="R46" s="4">
        <f>VLOOKUP(C46,Лист1!$B$1:$N$33,6,0)</f>
        <v>44383</v>
      </c>
      <c r="S46" s="4">
        <f>VLOOKUP(C46,Лист1!$B$1:$N$33,7,0)</f>
        <v>44383</v>
      </c>
      <c r="T46" s="4">
        <f>VLOOKUP(C46,Лист1!$B$1:$N$33,8,0)</f>
        <v>48213</v>
      </c>
      <c r="U46" s="10">
        <f>VLOOKUP(C46,Лист1!$B$1:$N$33,9,0)</f>
        <v>10</v>
      </c>
      <c r="V46" s="10">
        <v>8</v>
      </c>
      <c r="W46">
        <v>8</v>
      </c>
      <c r="X46" s="1">
        <v>9</v>
      </c>
      <c r="Y46" s="1" t="s">
        <v>78</v>
      </c>
      <c r="Z46" s="3" t="s">
        <v>48</v>
      </c>
      <c r="AE46" t="s">
        <v>10</v>
      </c>
      <c r="AF46" t="s">
        <v>124</v>
      </c>
      <c r="AG46" t="s">
        <v>224</v>
      </c>
    </row>
    <row r="47" spans="1:33" hidden="1" x14ac:dyDescent="0.25">
      <c r="A47" s="2">
        <v>44229</v>
      </c>
      <c r="B47">
        <f>VLOOKUP(C47,Лист1!$B$1:$N$33,2,0)</f>
        <v>8517620003</v>
      </c>
      <c r="C47" t="s">
        <v>117</v>
      </c>
      <c r="D47" t="str">
        <f>VLOOKUP(C47,Лист1!$B$2:$T$45,14,0)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47">
        <v>3</v>
      </c>
      <c r="F47" s="19">
        <v>264</v>
      </c>
      <c r="G47" s="19">
        <f t="shared" si="1"/>
        <v>792</v>
      </c>
      <c r="H47" t="str">
        <f>VLOOKUP(C47,Лист1!$B$1:$N$33,4,0)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47" t="s">
        <v>15</v>
      </c>
      <c r="J47" t="s">
        <v>18</v>
      </c>
      <c r="K47">
        <v>156</v>
      </c>
      <c r="L47" t="s">
        <v>10</v>
      </c>
      <c r="M47" t="s">
        <v>19</v>
      </c>
      <c r="N47" t="s">
        <v>13</v>
      </c>
      <c r="O47" t="s">
        <v>82</v>
      </c>
      <c r="P47">
        <v>10052</v>
      </c>
      <c r="Q47" t="str">
        <f>VLOOKUP(C47,Лист1!$B$1:$N$33,5,0)</f>
        <v>RU0000053828</v>
      </c>
      <c r="R47" s="4">
        <f>VLOOKUP(C47,Лист1!$B$1:$N$33,6,0)</f>
        <v>44431</v>
      </c>
      <c r="S47" s="4">
        <f>VLOOKUP(C47,Лист1!$B$1:$N$33,7,0)</f>
        <v>44431</v>
      </c>
      <c r="T47" s="4">
        <f>VLOOKUP(C47,Лист1!$B$1:$N$33,8,0)</f>
        <v>48213</v>
      </c>
      <c r="U47" s="10">
        <f>VLOOKUP(C47,Лист1!$B$1:$N$33,9,0)</f>
        <v>0.3</v>
      </c>
      <c r="V47" s="10">
        <v>1.2</v>
      </c>
      <c r="W47">
        <v>1.2</v>
      </c>
      <c r="X47" s="1">
        <v>1.3499999999999999</v>
      </c>
      <c r="Y47" s="1" t="s">
        <v>78</v>
      </c>
      <c r="Z47" s="3" t="s">
        <v>48</v>
      </c>
      <c r="AE47" t="s">
        <v>10</v>
      </c>
      <c r="AF47" t="s">
        <v>124</v>
      </c>
      <c r="AG47" t="s">
        <v>224</v>
      </c>
    </row>
    <row r="48" spans="1:33" hidden="1" x14ac:dyDescent="0.25">
      <c r="A48" s="2">
        <v>44229</v>
      </c>
      <c r="B48">
        <f>VLOOKUP(C48,Лист1!$B$1:$N$33,2,0)</f>
        <v>8517620003</v>
      </c>
      <c r="C48" t="s">
        <v>98</v>
      </c>
      <c r="D48" t="str">
        <f>VLOOKUP(C48,Лист1!$B$2:$T$45,14,0)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48">
        <v>3</v>
      </c>
      <c r="F48" s="19">
        <v>59</v>
      </c>
      <c r="G48" s="19">
        <f t="shared" si="1"/>
        <v>177</v>
      </c>
      <c r="H48" t="str">
        <f>VLOOKUP(C48,Лист1!$B$1:$N$33,4,0)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48" t="s">
        <v>15</v>
      </c>
      <c r="J48" t="s">
        <v>18</v>
      </c>
      <c r="K48">
        <v>156</v>
      </c>
      <c r="L48" t="s">
        <v>10</v>
      </c>
      <c r="M48" t="s">
        <v>19</v>
      </c>
      <c r="N48" t="s">
        <v>13</v>
      </c>
      <c r="O48" t="s">
        <v>82</v>
      </c>
      <c r="P48">
        <v>10052</v>
      </c>
      <c r="Q48" t="str">
        <f>VLOOKUP(C48,Лист1!$B$1:$N$33,5,0)</f>
        <v>RU0000053828</v>
      </c>
      <c r="R48" s="4">
        <f>VLOOKUP(C48,Лист1!$B$1:$N$33,6,0)</f>
        <v>44431</v>
      </c>
      <c r="S48" s="4">
        <f>VLOOKUP(C48,Лист1!$B$1:$N$33,7,0)</f>
        <v>44431</v>
      </c>
      <c r="T48" s="4">
        <f>VLOOKUP(C48,Лист1!$B$1:$N$33,8,0)</f>
        <v>48213</v>
      </c>
      <c r="U48" s="10">
        <f>VLOOKUP(C48,Лист1!$B$1:$N$33,9,0)</f>
        <v>0.3</v>
      </c>
      <c r="V48" s="10">
        <v>1.2</v>
      </c>
      <c r="W48">
        <v>1.2</v>
      </c>
      <c r="X48" s="1">
        <v>1.3499999999999999</v>
      </c>
      <c r="Y48" s="1" t="s">
        <v>78</v>
      </c>
      <c r="Z48" s="3" t="s">
        <v>48</v>
      </c>
      <c r="AE48" t="s">
        <v>10</v>
      </c>
      <c r="AF48" t="s">
        <v>124</v>
      </c>
      <c r="AG48" t="s">
        <v>224</v>
      </c>
    </row>
    <row r="49" spans="1:33" hidden="1" x14ac:dyDescent="0.25">
      <c r="A49" s="2">
        <v>44229</v>
      </c>
      <c r="B49">
        <f>VLOOKUP(C49,Лист1!$B$1:$N$33,2,0)</f>
        <v>8517620003</v>
      </c>
      <c r="C49" t="s">
        <v>118</v>
      </c>
      <c r="D49" t="str">
        <f>VLOOKUP(C49,Лист1!$B$2:$T$45,14,0)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49">
        <v>2</v>
      </c>
      <c r="F49" s="19">
        <v>1568</v>
      </c>
      <c r="G49" s="19">
        <f t="shared" si="1"/>
        <v>3136</v>
      </c>
      <c r="H49" t="str">
        <f>VLOOKUP(C49,Лист1!$B$1:$N$33,4,0)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49" t="s">
        <v>15</v>
      </c>
      <c r="J49" t="s">
        <v>18</v>
      </c>
      <c r="K49">
        <v>156</v>
      </c>
      <c r="L49" t="s">
        <v>10</v>
      </c>
      <c r="M49" t="s">
        <v>19</v>
      </c>
      <c r="N49" t="s">
        <v>13</v>
      </c>
      <c r="O49" t="s">
        <v>82</v>
      </c>
      <c r="P49">
        <v>10052</v>
      </c>
      <c r="Q49" t="str">
        <f>VLOOKUP(C49,Лист1!$B$1:$N$33,5,0)</f>
        <v>RU0000053245</v>
      </c>
      <c r="R49" s="4">
        <f>VLOOKUP(C49,Лист1!$B$1:$N$33,6,0)</f>
        <v>44383</v>
      </c>
      <c r="S49" s="4">
        <f>VLOOKUP(C49,Лист1!$B$1:$N$33,7,0)</f>
        <v>44383</v>
      </c>
      <c r="T49" s="4">
        <f>VLOOKUP(C49,Лист1!$B$1:$N$33,8,0)</f>
        <v>48213</v>
      </c>
      <c r="U49" s="10">
        <f>VLOOKUP(C49,Лист1!$B$1:$N$33,9,0)</f>
        <v>10</v>
      </c>
      <c r="V49" s="10">
        <v>16</v>
      </c>
      <c r="W49">
        <v>16</v>
      </c>
      <c r="X49" s="1">
        <v>18</v>
      </c>
      <c r="Y49" s="1" t="s">
        <v>78</v>
      </c>
      <c r="Z49" s="3" t="s">
        <v>48</v>
      </c>
      <c r="AA49" s="2" t="str">
        <f>VLOOKUP(C49,Лист1!$B$1:$N$33,10,0)</f>
        <v>ЕАЭС N RU Д-CN.КА01.В.23216/20</v>
      </c>
      <c r="AB49" s="2">
        <f>VLOOKUP(C49,Лист1!$B$1:$N$33,11,0)</f>
        <v>43908</v>
      </c>
      <c r="AC49" s="2">
        <f>VLOOKUP(C49,Лист1!$B$1:$N$33,12,0)</f>
        <v>43908</v>
      </c>
      <c r="AD49" s="2">
        <f>VLOOKUP(C49,Лист1!$B$1:$N$33,13,0)</f>
        <v>45733</v>
      </c>
      <c r="AE49" t="s">
        <v>10</v>
      </c>
      <c r="AF49" t="s">
        <v>124</v>
      </c>
      <c r="AG49" t="s">
        <v>224</v>
      </c>
    </row>
    <row r="50" spans="1:33" hidden="1" x14ac:dyDescent="0.25">
      <c r="A50" s="2">
        <v>44229</v>
      </c>
      <c r="B50">
        <f>VLOOKUP(C50,Лист1!$B$1:$N$33,2,0)</f>
        <v>8517620003</v>
      </c>
      <c r="C50" t="s">
        <v>117</v>
      </c>
      <c r="D50" t="str">
        <f>VLOOKUP(C50,Лист1!$B$2:$T$45,14,0)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50">
        <v>6</v>
      </c>
      <c r="F50" s="19">
        <v>264</v>
      </c>
      <c r="G50" s="19">
        <f t="shared" si="1"/>
        <v>1584</v>
      </c>
      <c r="H50" t="str">
        <f>VLOOKUP(C50,Лист1!$B$1:$N$33,4,0)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50" t="s">
        <v>15</v>
      </c>
      <c r="J50" t="s">
        <v>18</v>
      </c>
      <c r="K50">
        <v>156</v>
      </c>
      <c r="L50" t="s">
        <v>10</v>
      </c>
      <c r="M50" t="s">
        <v>19</v>
      </c>
      <c r="N50" t="s">
        <v>13</v>
      </c>
      <c r="O50" t="s">
        <v>82</v>
      </c>
      <c r="P50">
        <v>10052</v>
      </c>
      <c r="Q50" t="str">
        <f>VLOOKUP(C50,Лист1!$B$1:$N$33,5,0)</f>
        <v>RU0000053828</v>
      </c>
      <c r="R50" s="4">
        <f>VLOOKUP(C50,Лист1!$B$1:$N$33,6,0)</f>
        <v>44431</v>
      </c>
      <c r="S50" s="4">
        <f>VLOOKUP(C50,Лист1!$B$1:$N$33,7,0)</f>
        <v>44431</v>
      </c>
      <c r="T50" s="4">
        <f>VLOOKUP(C50,Лист1!$B$1:$N$33,8,0)</f>
        <v>48213</v>
      </c>
      <c r="U50" s="10">
        <f>VLOOKUP(C50,Лист1!$B$1:$N$33,9,0)</f>
        <v>0.3</v>
      </c>
      <c r="V50" s="10">
        <f t="shared" si="2"/>
        <v>1.7999999999999998</v>
      </c>
      <c r="W50">
        <v>1.7999999999999998</v>
      </c>
      <c r="X50" s="1">
        <v>2.0249999999999999</v>
      </c>
      <c r="Y50" s="1" t="s">
        <v>78</v>
      </c>
      <c r="Z50" s="3" t="s">
        <v>48</v>
      </c>
      <c r="AE50" t="s">
        <v>10</v>
      </c>
      <c r="AF50" t="s">
        <v>124</v>
      </c>
      <c r="AG50" t="s">
        <v>224</v>
      </c>
    </row>
    <row r="51" spans="1:33" hidden="1" x14ac:dyDescent="0.25">
      <c r="A51" s="2">
        <v>44229</v>
      </c>
      <c r="B51">
        <f>VLOOKUP(C51,Лист1!$B$1:$N$33,2,0)</f>
        <v>8517620003</v>
      </c>
      <c r="C51" t="s">
        <v>98</v>
      </c>
      <c r="D51" t="str">
        <f>VLOOKUP(C51,Лист1!$B$2:$T$45,14,0)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51">
        <v>6</v>
      </c>
      <c r="F51" s="19">
        <v>59</v>
      </c>
      <c r="G51" s="19">
        <f t="shared" si="1"/>
        <v>354</v>
      </c>
      <c r="H51" t="str">
        <f>VLOOKUP(C51,Лист1!$B$1:$N$33,4,0)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51" t="s">
        <v>15</v>
      </c>
      <c r="J51" t="s">
        <v>18</v>
      </c>
      <c r="K51">
        <v>156</v>
      </c>
      <c r="L51" t="s">
        <v>10</v>
      </c>
      <c r="M51" t="s">
        <v>19</v>
      </c>
      <c r="N51" t="s">
        <v>13</v>
      </c>
      <c r="O51" t="s">
        <v>82</v>
      </c>
      <c r="P51">
        <v>10052</v>
      </c>
      <c r="Q51" t="str">
        <f>VLOOKUP(C51,Лист1!$B$1:$N$33,5,0)</f>
        <v>RU0000053828</v>
      </c>
      <c r="R51" s="4">
        <f>VLOOKUP(C51,Лист1!$B$1:$N$33,6,0)</f>
        <v>44431</v>
      </c>
      <c r="S51" s="4">
        <f>VLOOKUP(C51,Лист1!$B$1:$N$33,7,0)</f>
        <v>44431</v>
      </c>
      <c r="T51" s="4">
        <f>VLOOKUP(C51,Лист1!$B$1:$N$33,8,0)</f>
        <v>48213</v>
      </c>
      <c r="U51" s="10">
        <f>VLOOKUP(C51,Лист1!$B$1:$N$33,9,0)</f>
        <v>0.3</v>
      </c>
      <c r="V51" s="10">
        <f t="shared" si="2"/>
        <v>1.7999999999999998</v>
      </c>
      <c r="W51">
        <v>1.7999999999999998</v>
      </c>
      <c r="X51" s="1">
        <v>2.0249999999999999</v>
      </c>
      <c r="Y51" s="1" t="s">
        <v>78</v>
      </c>
      <c r="Z51" s="3" t="s">
        <v>48</v>
      </c>
      <c r="AE51" t="s">
        <v>10</v>
      </c>
      <c r="AF51" t="s">
        <v>124</v>
      </c>
      <c r="AG51" t="s">
        <v>224</v>
      </c>
    </row>
    <row r="52" spans="1:33" hidden="1" x14ac:dyDescent="0.25">
      <c r="A52" s="2">
        <v>44229</v>
      </c>
      <c r="B52">
        <f>VLOOKUP(C52,Лист1!$B$1:$N$49,2,0)</f>
        <v>8517620003</v>
      </c>
      <c r="C52" t="s">
        <v>51</v>
      </c>
      <c r="D52" t="str">
        <f>VLOOKUP(C52,Лист1!$B$2:$T$45,14,0)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52">
        <v>2</v>
      </c>
      <c r="F52" s="19">
        <v>264</v>
      </c>
      <c r="G52" s="19">
        <f t="shared" si="1"/>
        <v>528</v>
      </c>
      <c r="H52" t="str">
        <f>VLOOKUP(C52,Лист1!$B$1:$N$33,4,0)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52" t="s">
        <v>15</v>
      </c>
      <c r="J52" t="s">
        <v>18</v>
      </c>
      <c r="K52">
        <v>156</v>
      </c>
      <c r="L52" t="s">
        <v>10</v>
      </c>
      <c r="M52" t="s">
        <v>19</v>
      </c>
      <c r="N52" t="s">
        <v>13</v>
      </c>
      <c r="O52" t="s">
        <v>82</v>
      </c>
      <c r="P52">
        <v>10052</v>
      </c>
      <c r="Q52" t="str">
        <f>VLOOKUP(C52,Лист1!$B$1:$N$33,5,0)</f>
        <v>RU0000053828</v>
      </c>
      <c r="R52" s="4">
        <f>VLOOKUP(C52,Лист1!$B$1:$N$33,6,0)</f>
        <v>44431</v>
      </c>
      <c r="S52" s="4">
        <f>VLOOKUP(C52,Лист1!$B$1:$N$33,7,0)</f>
        <v>44431</v>
      </c>
      <c r="T52" s="4">
        <f>VLOOKUP(C52,Лист1!$B$1:$N$33,8,0)</f>
        <v>48213</v>
      </c>
      <c r="U52" s="10">
        <f>VLOOKUP(C52,Лист1!$B$1:$N$33,9,0)</f>
        <v>0.3</v>
      </c>
      <c r="V52" s="10">
        <f t="shared" si="2"/>
        <v>0.6</v>
      </c>
      <c r="W52">
        <v>0.6</v>
      </c>
      <c r="X52" s="1">
        <v>0.67499999999999993</v>
      </c>
      <c r="Y52" s="1" t="s">
        <v>78</v>
      </c>
      <c r="Z52" s="3" t="s">
        <v>48</v>
      </c>
      <c r="AE52" t="s">
        <v>10</v>
      </c>
      <c r="AF52" t="s">
        <v>124</v>
      </c>
      <c r="AG52" t="s">
        <v>224</v>
      </c>
    </row>
    <row r="53" spans="1:33" hidden="1" x14ac:dyDescent="0.25">
      <c r="A53" s="2">
        <v>44251</v>
      </c>
      <c r="B53">
        <f>VLOOKUP(C53,Лист1!$B$1:$N$49,2,0)</f>
        <v>8517620003</v>
      </c>
      <c r="C53" t="s">
        <v>122</v>
      </c>
      <c r="D53" t="str">
        <f>VLOOKUP(C53,Лист1!$B$2:$T$45,14,0)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53">
        <v>3</v>
      </c>
      <c r="F53" s="19">
        <v>499.5</v>
      </c>
      <c r="G53" s="19">
        <f t="shared" si="1"/>
        <v>1498.5</v>
      </c>
      <c r="H53" t="str">
        <f>VLOOKUP(C53,Лист1!$B$1:$N$49,4,0)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53" t="s">
        <v>15</v>
      </c>
      <c r="J53" t="s">
        <v>18</v>
      </c>
      <c r="K53">
        <v>156</v>
      </c>
      <c r="L53" t="s">
        <v>10</v>
      </c>
      <c r="M53" t="s">
        <v>19</v>
      </c>
      <c r="N53" t="s">
        <v>13</v>
      </c>
      <c r="O53" t="s">
        <v>82</v>
      </c>
      <c r="P53">
        <v>10052</v>
      </c>
      <c r="Q53" t="str">
        <f>VLOOKUP(C53,Лист1!$B$1:$N$49,5,0)</f>
        <v>RU0000049917</v>
      </c>
      <c r="R53" s="4">
        <f>VLOOKUP(C53,Лист1!$B$1:$N$49,6,0)</f>
        <v>44099</v>
      </c>
      <c r="S53" s="4">
        <f>VLOOKUP(C53,Лист1!$B$1:$N$49,7,0)</f>
        <v>44099</v>
      </c>
      <c r="T53" s="4">
        <f>VLOOKUP(C53,Лист1!$B$1:$N$49,8,0)</f>
        <v>47848</v>
      </c>
      <c r="U53" s="10">
        <f>VLOOKUP(C53,Лист1!$B$1:$N$49,9,0)</f>
        <v>1.1000000000000001</v>
      </c>
      <c r="V53" s="10">
        <f t="shared" si="2"/>
        <v>3.3000000000000003</v>
      </c>
      <c r="W53">
        <v>4.5</v>
      </c>
      <c r="X53" s="1">
        <f>W53+W53*0.125</f>
        <v>5.0625</v>
      </c>
      <c r="Y53" s="1" t="s">
        <v>78</v>
      </c>
      <c r="Z53" s="3" t="s">
        <v>48</v>
      </c>
      <c r="AA53" s="2" t="str">
        <f>VLOOKUP(C53,Лист1!$B$1:$N$49,10,0)</f>
        <v>ЕАЭС N RU Д-CN.КА01.В.27192/20</v>
      </c>
      <c r="AB53" s="2">
        <f>VLOOKUP(C53,Лист1!$B$1:$N$49,11,0)</f>
        <v>43984</v>
      </c>
      <c r="AC53" s="2">
        <f>VLOOKUP(C53,Лист1!$B$1:$N$49,12,0)</f>
        <v>43984</v>
      </c>
      <c r="AD53" s="2">
        <f>VLOOKUP(C53,Лист1!$B$1:$N$49,13,0)</f>
        <v>45809</v>
      </c>
      <c r="AE53" t="s">
        <v>10</v>
      </c>
      <c r="AF53" t="s">
        <v>125</v>
      </c>
      <c r="AG53" t="s">
        <v>224</v>
      </c>
    </row>
    <row r="54" spans="1:33" hidden="1" x14ac:dyDescent="0.25">
      <c r="A54" s="2">
        <v>44251</v>
      </c>
      <c r="B54">
        <f>VLOOKUP(C54,Лист1!$B$1:$N$49,2,0)</f>
        <v>8517620003</v>
      </c>
      <c r="C54" t="s">
        <v>123</v>
      </c>
      <c r="D54" t="str">
        <f>VLOOKUP(C54,Лист1!$B$2:$T$45,14,0)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54">
        <v>1</v>
      </c>
      <c r="F54" s="19">
        <v>876</v>
      </c>
      <c r="G54" s="19">
        <f t="shared" si="1"/>
        <v>876</v>
      </c>
      <c r="H54" t="str">
        <f>VLOOKUP(C54,Лист1!$B$1:$N$49,4,0)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54" t="s">
        <v>15</v>
      </c>
      <c r="J54" t="s">
        <v>18</v>
      </c>
      <c r="K54">
        <v>156</v>
      </c>
      <c r="L54" t="s">
        <v>10</v>
      </c>
      <c r="M54" t="s">
        <v>19</v>
      </c>
      <c r="N54" t="s">
        <v>13</v>
      </c>
      <c r="O54" t="s">
        <v>82</v>
      </c>
      <c r="P54">
        <v>10052</v>
      </c>
      <c r="Q54" t="str">
        <f>VLOOKUP(C54,Лист1!$B$1:$N$49,5,0)</f>
        <v>RU0000033121</v>
      </c>
      <c r="R54" s="4">
        <f>VLOOKUP(C54,Лист1!$B$1:$N$49,6,0)</f>
        <v>42972</v>
      </c>
      <c r="S54" s="4">
        <f>VLOOKUP(C54,Лист1!$B$1:$N$49,7,0)</f>
        <v>42972</v>
      </c>
      <c r="T54" s="4">
        <f>VLOOKUP(C54,Лист1!$B$1:$N$49,8,0)</f>
        <v>44369</v>
      </c>
      <c r="U54" s="10">
        <f>VLOOKUP(C54,Лист1!$B$1:$N$49,9,0)</f>
        <v>4</v>
      </c>
      <c r="V54" s="10">
        <f t="shared" si="2"/>
        <v>4</v>
      </c>
      <c r="W54">
        <v>6</v>
      </c>
      <c r="X54" s="1">
        <f>W54+W54*0.125</f>
        <v>6.75</v>
      </c>
      <c r="Y54" s="1" t="s">
        <v>78</v>
      </c>
      <c r="Z54" s="3" t="s">
        <v>48</v>
      </c>
      <c r="AA54" s="2" t="str">
        <f>VLOOKUP(C54,Лист1!$B$1:$N$49,10,0)</f>
        <v>ЕАЭС N RU Д-CN.КА01.В.17403/19</v>
      </c>
      <c r="AB54" s="2">
        <f>VLOOKUP(C54,Лист1!$B$1:$N$49,11,0)</f>
        <v>43787</v>
      </c>
      <c r="AC54" s="2">
        <f>VLOOKUP(C54,Лист1!$B$1:$N$49,12,0)</f>
        <v>43787</v>
      </c>
      <c r="AD54" s="2">
        <f>VLOOKUP(C54,Лист1!$B$1:$N$49,13,0)</f>
        <v>45613</v>
      </c>
      <c r="AE54" t="s">
        <v>10</v>
      </c>
      <c r="AF54" t="s">
        <v>125</v>
      </c>
      <c r="AG54" t="s">
        <v>224</v>
      </c>
    </row>
    <row r="55" spans="1:33" hidden="1" x14ac:dyDescent="0.25">
      <c r="A55" s="2">
        <v>44251</v>
      </c>
      <c r="B55">
        <f>VLOOKUP(C55,Лист1!$B$1:$N$33,2,0)</f>
        <v>8517620003</v>
      </c>
      <c r="C55" t="s">
        <v>25</v>
      </c>
      <c r="D55" t="str">
        <f>VLOOKUP(C55,Лист1!$B$2:$T$45,14,0)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55">
        <v>3</v>
      </c>
      <c r="F55" s="19">
        <v>1368</v>
      </c>
      <c r="G55" s="19">
        <f t="shared" si="1"/>
        <v>4104</v>
      </c>
      <c r="H55" t="str">
        <f>VLOOKUP(C55,Лист1!$B$1:$N$49,4,0)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55" t="s">
        <v>15</v>
      </c>
      <c r="J55" t="s">
        <v>18</v>
      </c>
      <c r="K55">
        <v>156</v>
      </c>
      <c r="L55" t="s">
        <v>10</v>
      </c>
      <c r="M55" t="s">
        <v>19</v>
      </c>
      <c r="N55" t="s">
        <v>13</v>
      </c>
      <c r="O55" t="s">
        <v>82</v>
      </c>
      <c r="P55">
        <v>10052</v>
      </c>
      <c r="Q55" t="str">
        <f>VLOOKUP(C55,Лист1!$B$1:$N$49,5,0)</f>
        <v>RU0000053245</v>
      </c>
      <c r="R55" s="4">
        <f>VLOOKUP(C55,Лист1!$B$1:$N$49,6,0)</f>
        <v>44383</v>
      </c>
      <c r="S55" s="4">
        <f>VLOOKUP(C55,Лист1!$B$1:$N$49,7,0)</f>
        <v>44383</v>
      </c>
      <c r="T55" s="4">
        <f>VLOOKUP(C55,Лист1!$B$1:$N$49,8,0)</f>
        <v>48213</v>
      </c>
      <c r="U55" s="10">
        <f>VLOOKUP(C55,Лист1!$B$1:$N$49,9,0)</f>
        <v>10</v>
      </c>
      <c r="V55" s="10">
        <f t="shared" si="2"/>
        <v>30</v>
      </c>
      <c r="W55">
        <v>22.5</v>
      </c>
      <c r="X55" s="1">
        <f t="shared" ref="X55:X61" si="6">W55+W55*0.125</f>
        <v>25.3125</v>
      </c>
      <c r="Y55" s="1" t="s">
        <v>78</v>
      </c>
      <c r="Z55" s="3" t="s">
        <v>48</v>
      </c>
      <c r="AA55" s="2" t="str">
        <f>VLOOKUP(C55,Лист1!$B$1:$N$49,10,0)</f>
        <v>ЕАЭС N RU Д-CN.КА01.В.23216/20</v>
      </c>
      <c r="AB55" s="2">
        <f>VLOOKUP(C55,Лист1!$B$1:$N$49,11,0)</f>
        <v>43908</v>
      </c>
      <c r="AC55" s="2">
        <f>VLOOKUP(C55,Лист1!$B$1:$N$49,12,0)</f>
        <v>43908</v>
      </c>
      <c r="AD55" s="2">
        <f>VLOOKUP(C55,Лист1!$B$1:$N$49,13,0)</f>
        <v>45733</v>
      </c>
      <c r="AE55" t="s">
        <v>10</v>
      </c>
      <c r="AF55" t="s">
        <v>125</v>
      </c>
      <c r="AG55" t="s">
        <v>224</v>
      </c>
    </row>
    <row r="56" spans="1:33" hidden="1" x14ac:dyDescent="0.25">
      <c r="A56" s="2">
        <v>44251</v>
      </c>
      <c r="B56">
        <f>VLOOKUP(C56,Лист1!$B$1:$N$33,2,0)</f>
        <v>8517620003</v>
      </c>
      <c r="C56" t="s">
        <v>74</v>
      </c>
      <c r="D56" t="str">
        <f>VLOOKUP(C56,Лист1!$B$2:$T$45,14,0)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56">
        <v>3</v>
      </c>
      <c r="F56" s="19">
        <v>198</v>
      </c>
      <c r="G56" s="19">
        <f t="shared" si="1"/>
        <v>594</v>
      </c>
      <c r="H56" t="str">
        <f>VLOOKUP(C56,Лист1!$B$1:$N$33,4,0)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56" t="s">
        <v>15</v>
      </c>
      <c r="J56" t="s">
        <v>18</v>
      </c>
      <c r="K56">
        <v>156</v>
      </c>
      <c r="L56" t="s">
        <v>10</v>
      </c>
      <c r="M56" t="s">
        <v>19</v>
      </c>
      <c r="N56" t="s">
        <v>13</v>
      </c>
      <c r="O56" t="s">
        <v>82</v>
      </c>
      <c r="P56">
        <v>10052</v>
      </c>
      <c r="Q56" t="str">
        <f>VLOOKUP(C56,Лист1!$B$1:$N$33,5,0)</f>
        <v>RU0000053828</v>
      </c>
      <c r="R56" s="4">
        <f>VLOOKUP(C56,Лист1!$B$1:$N$33,6,0)</f>
        <v>44431</v>
      </c>
      <c r="S56" s="4">
        <f>VLOOKUP(C56,Лист1!$B$1:$N$33,7,0)</f>
        <v>44431</v>
      </c>
      <c r="T56" s="4">
        <f>VLOOKUP(C56,Лист1!$B$1:$N$33,8,0)</f>
        <v>48213</v>
      </c>
      <c r="U56" s="10">
        <f>VLOOKUP(C56,Лист1!$B$1:$N$33,9,0)</f>
        <v>0.3</v>
      </c>
      <c r="V56" s="10">
        <f t="shared" si="2"/>
        <v>0.89999999999999991</v>
      </c>
      <c r="W56">
        <v>0.9</v>
      </c>
      <c r="X56" s="1">
        <f t="shared" si="6"/>
        <v>1.0125</v>
      </c>
      <c r="Y56" s="1" t="s">
        <v>78</v>
      </c>
      <c r="Z56" s="3" t="s">
        <v>48</v>
      </c>
      <c r="AE56" t="s">
        <v>10</v>
      </c>
      <c r="AF56" t="s">
        <v>125</v>
      </c>
      <c r="AG56" t="s">
        <v>224</v>
      </c>
    </row>
    <row r="57" spans="1:33" hidden="1" x14ac:dyDescent="0.25">
      <c r="A57" s="2">
        <v>44251</v>
      </c>
      <c r="B57">
        <f>VLOOKUP(C57,Лист1!$B$1:$N$33,2,0)</f>
        <v>8517620003</v>
      </c>
      <c r="C57" t="s">
        <v>28</v>
      </c>
      <c r="D57" t="str">
        <f>VLOOKUP(C57,Лист1!$B$2:$T$45,14,0)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57">
        <v>9</v>
      </c>
      <c r="F57" s="19">
        <v>198</v>
      </c>
      <c r="G57" s="19">
        <f t="shared" si="1"/>
        <v>1782</v>
      </c>
      <c r="H57" t="str">
        <f>VLOOKUP(C57,Лист1!$B$1:$N$33,4,0)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57" t="s">
        <v>15</v>
      </c>
      <c r="J57" t="s">
        <v>18</v>
      </c>
      <c r="K57">
        <v>156</v>
      </c>
      <c r="L57" t="s">
        <v>10</v>
      </c>
      <c r="M57" t="s">
        <v>19</v>
      </c>
      <c r="N57" t="s">
        <v>13</v>
      </c>
      <c r="O57" t="s">
        <v>82</v>
      </c>
      <c r="P57">
        <v>10052</v>
      </c>
      <c r="Q57" t="str">
        <f>VLOOKUP(C57,Лист1!$B$1:$N$33,5,0)</f>
        <v>RU0000053828</v>
      </c>
      <c r="R57" s="4">
        <f>VLOOKUP(C57,Лист1!$B$1:$N$33,6,0)</f>
        <v>44431</v>
      </c>
      <c r="S57" s="4">
        <f>VLOOKUP(C57,Лист1!$B$1:$N$33,7,0)</f>
        <v>44431</v>
      </c>
      <c r="T57" s="4">
        <f>VLOOKUP(C57,Лист1!$B$1:$N$33,8,0)</f>
        <v>48213</v>
      </c>
      <c r="U57" s="10">
        <f>VLOOKUP(C57,Лист1!$B$1:$N$33,9,0)</f>
        <v>0.3</v>
      </c>
      <c r="V57" s="10">
        <f>U57*E57</f>
        <v>2.6999999999999997</v>
      </c>
      <c r="W57">
        <v>2.7</v>
      </c>
      <c r="X57" s="1">
        <f t="shared" si="6"/>
        <v>3.0375000000000001</v>
      </c>
      <c r="Y57" s="1" t="s">
        <v>78</v>
      </c>
      <c r="Z57" s="3" t="s">
        <v>48</v>
      </c>
      <c r="AE57" t="s">
        <v>10</v>
      </c>
      <c r="AF57" t="s">
        <v>125</v>
      </c>
      <c r="AG57" t="s">
        <v>224</v>
      </c>
    </row>
    <row r="58" spans="1:33" hidden="1" x14ac:dyDescent="0.25">
      <c r="A58" s="2">
        <v>44251</v>
      </c>
      <c r="B58">
        <f>VLOOKUP(C58,Лист1!$B$1:$N$33,2,0)</f>
        <v>8517620002</v>
      </c>
      <c r="C58" t="s">
        <v>114</v>
      </c>
      <c r="D58" t="str">
        <f>VLOOKUP(C58,Лист1!$B$2:$T$45,14,0)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58">
        <v>1</v>
      </c>
      <c r="F58" s="19">
        <v>1247.46</v>
      </c>
      <c r="G58" s="19">
        <f t="shared" si="1"/>
        <v>1247.46</v>
      </c>
      <c r="H58" t="str">
        <f>VLOOKUP(C58,Лист1!$B$1:$N$33,4,0)</f>
        <v xml:space="preserve">SICOM3028GPT-L2GT-MB-HV-HV-S - промышленные коммутаторы с широким спектром сфер применния и модульным дизайном для простоты масштабирования и расширения функционала устройства. Модели SICOM3028GPT-L2GT могут иметь до 28 гигабитных портов, а модели SICOM3028GPT-L2GT-MB-HV-HV-S до 24 портов 100 Мбит/с и до 4 гигабитных портов.. Устройства оборудованы PTP-картой для поддержки синхронизации времени (IEEE1588v2) на всех 28 портах устройства.
Коммутаторы крепятся в 19-дюймовую стойку (занимают 1U), крепятся передней или задней панелью. Устройства соответствуют IEC61850-3 и IEEE1613 для электроподстанций, имеют консольный Mini USB порт, соответствуют IEC62439-6, поддерживаюют VCT (Virtual Cable Test). Диапазон рабочих температур коммутаторов SICOM3028GPT-L2GT от -40° до +85°.
Протоколы
DT-Ring, DT-Ring+, MSTP, DRP; IGMP Snooping, GMRP;
VLAN, GVRP, PVLAN;
Telnet, HTTP, HTTPS, SNMPv1/v2/v3, RMON, LLDP, Bootp, DHCP server/relay/client, DHCP Option 82;
SNTP, PTP, RTC;
SSH, SSL, TACACS+, RADIUS, ACL; Syslog;
ARP, Modbus TCP, QoS, LACP
PRP, HSR
Длина волны
1310нм (одномод), 1550нм (одномод), 1310 (многомод)
Расстояние передачи
10~80км (одномод) , до 5 км (100M многомод) , до 2 км (1000M многомод)
Тип коннектора
Питание
Напряжение питания
Резервированное: 220Вольт переменного напряжения/Вольт постоянного напряжения (77-300VDC/85-264VAC)
Потребляемая мощность
До 42 Вт
Механические характеристики
Размеры
482.6мм x 44мм x 360мм
Крепление
19” стойка
Класс защиты
IP40
Рабочая температура
от -40 до +85С
Температура хранения
-40 до +85C
Влажность
от 5 до 95% (без конденсата)
MTBF
359000 часов
Гарантия
5 лет
</v>
      </c>
      <c r="I58" t="s">
        <v>15</v>
      </c>
      <c r="J58" t="s">
        <v>18</v>
      </c>
      <c r="K58">
        <v>156</v>
      </c>
      <c r="L58" t="s">
        <v>10</v>
      </c>
      <c r="M58" t="s">
        <v>19</v>
      </c>
      <c r="N58" t="s">
        <v>13</v>
      </c>
      <c r="O58" t="s">
        <v>82</v>
      </c>
      <c r="P58">
        <v>10052</v>
      </c>
      <c r="Q58" t="str">
        <f>VLOOKUP(C58,Лист1!$B$1:$N$33,5,0)</f>
        <v>RU0000053245</v>
      </c>
      <c r="R58" s="4">
        <f>VLOOKUP(C58,Лист1!$B$1:$N$33,6,0)</f>
        <v>44383</v>
      </c>
      <c r="S58" s="4">
        <f>VLOOKUP(C58,Лист1!$B$1:$N$33,7,0)</f>
        <v>44383</v>
      </c>
      <c r="T58" s="4">
        <f>VLOOKUP(C58,Лист1!$B$1:$N$33,8,0)</f>
        <v>48213</v>
      </c>
      <c r="U58" s="10">
        <f>VLOOKUP(C58,Лист1!$B$1:$N$33,9,0)</f>
        <v>10</v>
      </c>
      <c r="V58" s="10">
        <f>U58*E58</f>
        <v>10</v>
      </c>
      <c r="W58">
        <v>7.5</v>
      </c>
      <c r="X58" s="1">
        <f t="shared" si="6"/>
        <v>8.4375</v>
      </c>
      <c r="Y58" s="1" t="s">
        <v>78</v>
      </c>
      <c r="Z58" s="3" t="s">
        <v>48</v>
      </c>
      <c r="AA58" s="2" t="str">
        <f>VLOOKUP(C58,Лист1!$B$1:$N$33,10,0)</f>
        <v>ЕАЭС N RU Д-CN.КА01.В.23216/20</v>
      </c>
      <c r="AB58" s="2">
        <f>VLOOKUP(C58,Лист1!$B$1:$N$33,11,0)</f>
        <v>43908</v>
      </c>
      <c r="AC58" s="2">
        <f>VLOOKUP(C58,Лист1!$B$1:$N$33,12,0)</f>
        <v>43908</v>
      </c>
      <c r="AD58" s="2">
        <f>VLOOKUP(C58,Лист1!$B$1:$N$33,13,0)</f>
        <v>45733</v>
      </c>
      <c r="AE58" t="s">
        <v>10</v>
      </c>
      <c r="AF58" t="s">
        <v>125</v>
      </c>
      <c r="AG58" t="s">
        <v>224</v>
      </c>
    </row>
    <row r="59" spans="1:33" hidden="1" x14ac:dyDescent="0.25">
      <c r="A59" s="2">
        <v>44251</v>
      </c>
      <c r="B59">
        <f>VLOOKUP(C59,Лист1!$B$1:$N$33,2,0)</f>
        <v>8517620003</v>
      </c>
      <c r="C59" t="s">
        <v>74</v>
      </c>
      <c r="D59" t="str">
        <f>VLOOKUP(C59,Лист1!$B$2:$T$45,14,0)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59">
        <v>1</v>
      </c>
      <c r="F59" s="19">
        <v>168.64</v>
      </c>
      <c r="G59" s="19">
        <f t="shared" si="1"/>
        <v>168.64</v>
      </c>
      <c r="H59" t="str">
        <f>VLOOKUP(C59,Лист1!$B$1:$N$33,4,0)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59" t="s">
        <v>15</v>
      </c>
      <c r="J59" t="s">
        <v>18</v>
      </c>
      <c r="K59">
        <v>156</v>
      </c>
      <c r="L59" t="s">
        <v>10</v>
      </c>
      <c r="M59" t="s">
        <v>19</v>
      </c>
      <c r="N59" t="s">
        <v>13</v>
      </c>
      <c r="O59" t="s">
        <v>82</v>
      </c>
      <c r="P59">
        <v>10052</v>
      </c>
      <c r="Q59" t="str">
        <f>VLOOKUP(C59,Лист1!$B$1:$N$33,5,0)</f>
        <v>RU0000053828</v>
      </c>
      <c r="R59" s="4">
        <f>VLOOKUP(C59,Лист1!$B$1:$N$33,6,0)</f>
        <v>44431</v>
      </c>
      <c r="S59" s="4">
        <f>VLOOKUP(C59,Лист1!$B$1:$N$33,7,0)</f>
        <v>44431</v>
      </c>
      <c r="T59" s="4">
        <f>VLOOKUP(C59,Лист1!$B$1:$N$33,8,0)</f>
        <v>48213</v>
      </c>
      <c r="U59" s="10">
        <f>VLOOKUP(C59,Лист1!$B$1:$N$33,9,0)</f>
        <v>0.3</v>
      </c>
      <c r="V59" s="10">
        <f>U59*E59</f>
        <v>0.3</v>
      </c>
      <c r="W59">
        <v>0.3</v>
      </c>
      <c r="X59" s="1">
        <f t="shared" si="6"/>
        <v>0.33749999999999997</v>
      </c>
      <c r="Y59" s="1" t="s">
        <v>78</v>
      </c>
      <c r="Z59" s="3" t="s">
        <v>48</v>
      </c>
      <c r="AE59" t="s">
        <v>10</v>
      </c>
      <c r="AF59" t="s">
        <v>125</v>
      </c>
      <c r="AG59" t="s">
        <v>224</v>
      </c>
    </row>
    <row r="60" spans="1:33" hidden="1" x14ac:dyDescent="0.25">
      <c r="A60" s="2">
        <v>44251</v>
      </c>
      <c r="B60">
        <f>VLOOKUP(C60,Лист1!$B$1:$N$33,2,0)</f>
        <v>8517620003</v>
      </c>
      <c r="C60" t="s">
        <v>27</v>
      </c>
      <c r="D60" t="str">
        <f>VLOOKUP(C60,Лист1!$B$2:$T$45,14,0)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60">
        <v>1</v>
      </c>
      <c r="F60" s="19">
        <v>168.64</v>
      </c>
      <c r="G60" s="19">
        <f t="shared" si="1"/>
        <v>168.64</v>
      </c>
      <c r="H60" t="str">
        <f>VLOOKUP(C60,Лист1!$B$1:$N$33,4,0)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60" t="s">
        <v>15</v>
      </c>
      <c r="J60" t="s">
        <v>18</v>
      </c>
      <c r="K60">
        <v>156</v>
      </c>
      <c r="L60" t="s">
        <v>10</v>
      </c>
      <c r="M60" t="s">
        <v>19</v>
      </c>
      <c r="N60" t="s">
        <v>13</v>
      </c>
      <c r="O60" t="s">
        <v>82</v>
      </c>
      <c r="P60">
        <v>10052</v>
      </c>
      <c r="Q60" t="str">
        <f>VLOOKUP(C60,Лист1!$B$1:$N$33,5,0)</f>
        <v>RU0000053828</v>
      </c>
      <c r="R60" s="4">
        <f>VLOOKUP(C60,Лист1!$B$1:$N$33,6,0)</f>
        <v>44431</v>
      </c>
      <c r="S60" s="4">
        <f>VLOOKUP(C60,Лист1!$B$1:$N$33,7,0)</f>
        <v>44431</v>
      </c>
      <c r="T60" s="4">
        <f>VLOOKUP(C60,Лист1!$B$1:$N$33,8,0)</f>
        <v>48213</v>
      </c>
      <c r="U60" s="10">
        <f>VLOOKUP(C60,Лист1!$B$1:$N$33,9,0)</f>
        <v>0.3</v>
      </c>
      <c r="V60" s="10">
        <f>U60*E60</f>
        <v>0.3</v>
      </c>
      <c r="W60">
        <v>0.3</v>
      </c>
      <c r="X60" s="1">
        <f t="shared" si="6"/>
        <v>0.33749999999999997</v>
      </c>
      <c r="Y60" s="1" t="s">
        <v>78</v>
      </c>
      <c r="Z60" s="3" t="s">
        <v>48</v>
      </c>
      <c r="AE60" t="s">
        <v>10</v>
      </c>
      <c r="AF60" t="s">
        <v>125</v>
      </c>
      <c r="AG60" t="s">
        <v>224</v>
      </c>
    </row>
    <row r="61" spans="1:33" hidden="1" x14ac:dyDescent="0.25">
      <c r="A61" s="2">
        <v>44251</v>
      </c>
      <c r="B61">
        <f>VLOOKUP(C61,Лист1!$B$1:$N$67,2,0)</f>
        <v>8517620003</v>
      </c>
      <c r="C61" t="s">
        <v>28</v>
      </c>
      <c r="D61" t="str">
        <f>VLOOKUP(C61,Лист1!$B$2:$T$45,14,0)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61">
        <v>5</v>
      </c>
      <c r="F61" s="19">
        <v>168.64</v>
      </c>
      <c r="G61" s="19">
        <f t="shared" si="1"/>
        <v>843.19999999999993</v>
      </c>
      <c r="H61" t="str">
        <f>VLOOKUP(C61,Лист1!$B$1:$N$67,4,0)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61" t="s">
        <v>15</v>
      </c>
      <c r="J61" t="s">
        <v>18</v>
      </c>
      <c r="K61">
        <v>156</v>
      </c>
      <c r="L61" t="s">
        <v>10</v>
      </c>
      <c r="M61" t="s">
        <v>19</v>
      </c>
      <c r="N61" t="s">
        <v>13</v>
      </c>
      <c r="O61" t="s">
        <v>82</v>
      </c>
      <c r="P61">
        <v>10052</v>
      </c>
      <c r="Q61" t="str">
        <f>VLOOKUP(C61,Лист1!$B$1:$N$142,5,0)</f>
        <v>RU0000053828</v>
      </c>
      <c r="R61" s="4">
        <f>VLOOKUP(C61,Лист1!$B$1:$N$142,6,0)</f>
        <v>44431</v>
      </c>
      <c r="S61" s="4">
        <f>VLOOKUP(C61,Лист1!$B$1:$N$142,7,0)</f>
        <v>44431</v>
      </c>
      <c r="T61" s="4">
        <f>VLOOKUP(C61,Лист1!$B$1:$N$142,8,0)</f>
        <v>48213</v>
      </c>
      <c r="U61" s="10">
        <f>VLOOKUP(C61,Лист1!$B$1:$N$142,9,0)</f>
        <v>0.3</v>
      </c>
      <c r="V61" s="10">
        <f>U61*E61</f>
        <v>1.5</v>
      </c>
      <c r="W61">
        <v>1.5</v>
      </c>
      <c r="X61" s="1">
        <f t="shared" si="6"/>
        <v>1.6875</v>
      </c>
      <c r="Y61" s="1" t="s">
        <v>78</v>
      </c>
      <c r="Z61" s="3" t="s">
        <v>48</v>
      </c>
      <c r="AE61" t="s">
        <v>10</v>
      </c>
      <c r="AF61" t="s">
        <v>125</v>
      </c>
      <c r="AG61" t="s">
        <v>224</v>
      </c>
    </row>
    <row r="62" spans="1:33" hidden="1" x14ac:dyDescent="0.25">
      <c r="A62" s="2">
        <v>44273</v>
      </c>
      <c r="B62">
        <f>VLOOKUP(C62,Лист1!$B$1:$N$67,2,0)</f>
        <v>8517620003</v>
      </c>
      <c r="C62" t="s">
        <v>126</v>
      </c>
      <c r="D62" t="str">
        <f>VLOOKUP(C62,Лист1!$B$2:$T$45,14,0)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62">
        <v>12</v>
      </c>
      <c r="F62" s="19">
        <v>90</v>
      </c>
      <c r="G62" s="19">
        <f t="shared" si="1"/>
        <v>1080</v>
      </c>
      <c r="H62" t="str">
        <f>VLOOKUP(C62,Лист1!$B$1:$N$67,4,0)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62" t="s">
        <v>15</v>
      </c>
      <c r="J62" t="s">
        <v>18</v>
      </c>
      <c r="K62">
        <v>156</v>
      </c>
      <c r="L62" t="s">
        <v>10</v>
      </c>
      <c r="M62" t="s">
        <v>19</v>
      </c>
      <c r="N62" t="s">
        <v>13</v>
      </c>
      <c r="O62" t="s">
        <v>82</v>
      </c>
      <c r="P62">
        <v>10052</v>
      </c>
      <c r="Q62" t="str">
        <f>VLOOKUP(C62,Лист1!$B$1:$N$142,5,0)</f>
        <v>RU0000032871</v>
      </c>
      <c r="R62" s="4">
        <f>VLOOKUP(C62,Лист1!$B$1:$N$142,6,0)</f>
        <v>42958</v>
      </c>
      <c r="S62" s="4">
        <f>VLOOKUP(C62,Лист1!$B$1:$N$142,7,0)</f>
        <v>42958</v>
      </c>
      <c r="T62" s="4">
        <f>VLOOKUP(C62,Лист1!$B$1:$N$142,8,0)</f>
        <v>44369</v>
      </c>
      <c r="U62" s="10">
        <f>VLOOKUP(C62,Лист1!$B$1:$N$142,9,0)</f>
        <v>0.3</v>
      </c>
      <c r="V62" s="10">
        <f t="shared" ref="V62:V110" si="7">U62*E62</f>
        <v>3.5999999999999996</v>
      </c>
      <c r="W62">
        <v>7.2</v>
      </c>
      <c r="X62" s="1">
        <v>8</v>
      </c>
      <c r="Y62" s="1" t="s">
        <v>78</v>
      </c>
      <c r="Z62" s="3" t="s">
        <v>48</v>
      </c>
      <c r="AA62" s="2" t="str">
        <f>VLOOKUP(C62,Лист1!$B$1:$N$142,10,0)</f>
        <v>ЕАЭС N RU Д-CN.КА01.В.17403/19</v>
      </c>
      <c r="AB62" s="2">
        <f>VLOOKUP(C62,Лист1!$B$1:$N$142,11,0)</f>
        <v>43787</v>
      </c>
      <c r="AC62" s="2">
        <f>VLOOKUP(C62,Лист1!$B$1:$N$142,12,0)</f>
        <v>43787</v>
      </c>
      <c r="AD62" s="2">
        <f>VLOOKUP(C62,Лист1!$B$1:$N$142,13,0)</f>
        <v>45613</v>
      </c>
      <c r="AE62" t="s">
        <v>10</v>
      </c>
      <c r="AF62" t="s">
        <v>129</v>
      </c>
      <c r="AG62" t="s">
        <v>224</v>
      </c>
    </row>
    <row r="63" spans="1:33" hidden="1" x14ac:dyDescent="0.25">
      <c r="A63" s="2">
        <v>44273</v>
      </c>
      <c r="B63">
        <f>VLOOKUP(C63,Лист1!$B$1:$N$67,2,0)</f>
        <v>8517620003</v>
      </c>
      <c r="C63" s="5" t="s">
        <v>127</v>
      </c>
      <c r="D63" t="str">
        <f>VLOOKUP(C63,Лист1!$B$2:$T$45,14,0)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63">
        <v>1</v>
      </c>
      <c r="F63" s="19">
        <v>771</v>
      </c>
      <c r="G63" s="19">
        <f t="shared" si="1"/>
        <v>771</v>
      </c>
      <c r="H63" t="str">
        <f>VLOOKUP(C63,Лист1!$B$1:$N$67,4,0)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63" t="s">
        <v>15</v>
      </c>
      <c r="J63" t="s">
        <v>18</v>
      </c>
      <c r="K63">
        <v>156</v>
      </c>
      <c r="L63" t="s">
        <v>10</v>
      </c>
      <c r="M63" t="s">
        <v>19</v>
      </c>
      <c r="N63" t="s">
        <v>13</v>
      </c>
      <c r="O63" t="s">
        <v>82</v>
      </c>
      <c r="P63">
        <v>10052</v>
      </c>
      <c r="Q63" t="str">
        <f>VLOOKUP(C63,Лист1!$B$1:$N$142,5,0)</f>
        <v>RU0000033121</v>
      </c>
      <c r="R63" s="4">
        <f>VLOOKUP(C63,Лист1!$B$1:$N$142,6,0)</f>
        <v>42972</v>
      </c>
      <c r="S63" s="4">
        <f>VLOOKUP(C63,Лист1!$B$1:$N$142,7,0)</f>
        <v>42972</v>
      </c>
      <c r="T63" s="4">
        <f>VLOOKUP(C63,Лист1!$B$1:$N$142,8,0)</f>
        <v>44369</v>
      </c>
      <c r="U63" s="10">
        <f>VLOOKUP(C63,Лист1!$B$1:$N$142,9,0)</f>
        <v>4</v>
      </c>
      <c r="V63" s="10">
        <f t="shared" si="7"/>
        <v>4</v>
      </c>
      <c r="W63">
        <v>4.5</v>
      </c>
      <c r="X63" s="1">
        <v>5</v>
      </c>
      <c r="Y63" s="1" t="s">
        <v>78</v>
      </c>
      <c r="Z63" s="3" t="s">
        <v>48</v>
      </c>
      <c r="AA63" s="2" t="str">
        <f>VLOOKUP(C63,Лист1!$B$1:$N$142,10,0)</f>
        <v>ЕАЭС N RU Д-CN.РА01.В.63213/21</v>
      </c>
      <c r="AB63" s="2">
        <f>VLOOKUP(C63,Лист1!$B$1:$N$142,11,0)</f>
        <v>44278</v>
      </c>
      <c r="AC63" s="2">
        <f>VLOOKUP(C63,Лист1!$B$1:$N$142,12,0)</f>
        <v>44278</v>
      </c>
      <c r="AD63" s="2">
        <f>VLOOKUP(C63,Лист1!$B$1:$N$142,13,0)</f>
        <v>46102</v>
      </c>
      <c r="AE63" t="s">
        <v>10</v>
      </c>
      <c r="AF63" t="s">
        <v>129</v>
      </c>
      <c r="AG63" t="s">
        <v>224</v>
      </c>
    </row>
    <row r="64" spans="1:33" ht="138" hidden="1" customHeight="1" x14ac:dyDescent="0.25">
      <c r="A64" s="2">
        <v>44286</v>
      </c>
      <c r="B64">
        <f>VLOOKUP(C64,Лист1!$B$1:$N$67,2,0)</f>
        <v>8517620003</v>
      </c>
      <c r="C64" t="s">
        <v>25</v>
      </c>
      <c r="D64" s="5" t="str">
        <f>VLOOKUP(C64,Лист1!$B$2:$T$45,14,0)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64">
        <v>4</v>
      </c>
      <c r="F64" s="19">
        <v>1368</v>
      </c>
      <c r="G64" s="19">
        <f t="shared" si="1"/>
        <v>5472</v>
      </c>
      <c r="H64" t="str">
        <f>VLOOKUP(C64,Лист1!$B$1:$N$67,4,0)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64" t="s">
        <v>15</v>
      </c>
      <c r="J64" t="s">
        <v>18</v>
      </c>
      <c r="K64">
        <v>156</v>
      </c>
      <c r="L64" t="s">
        <v>10</v>
      </c>
      <c r="M64" t="s">
        <v>19</v>
      </c>
      <c r="N64" t="s">
        <v>13</v>
      </c>
      <c r="O64" t="s">
        <v>82</v>
      </c>
      <c r="P64">
        <v>10052</v>
      </c>
      <c r="Q64" t="str">
        <f>VLOOKUP(C64,Лист1!$B$1:$N$142,5,0)</f>
        <v>RU0000053245</v>
      </c>
      <c r="R64" s="4">
        <f>VLOOKUP(C64,Лист1!$B$1:$N$142,6,0)</f>
        <v>44383</v>
      </c>
      <c r="S64" s="4">
        <f>VLOOKUP(C64,Лист1!$B$1:$N$142,7,0)</f>
        <v>44383</v>
      </c>
      <c r="T64" s="4">
        <f>VLOOKUP(C64,Лист1!$B$1:$N$142,8,0)</f>
        <v>48213</v>
      </c>
      <c r="U64" s="10">
        <f>VLOOKUP(C64,Лист1!$B$1:$N$142,9,0)</f>
        <v>10</v>
      </c>
      <c r="V64" s="10">
        <f t="shared" si="7"/>
        <v>40</v>
      </c>
      <c r="W64">
        <v>32</v>
      </c>
      <c r="X64" s="1">
        <v>36.94</v>
      </c>
      <c r="Y64" s="1" t="s">
        <v>78</v>
      </c>
      <c r="Z64" s="3" t="s">
        <v>48</v>
      </c>
      <c r="AA64" s="2" t="str">
        <f>VLOOKUP(C64,Лист1!$B$1:$N$33,10,0)</f>
        <v>ЕАЭС N RU Д-CN.КА01.В.23216/20</v>
      </c>
      <c r="AB64" s="2">
        <f>VLOOKUP(C64,Лист1!$B$1:$N$33,11,0)</f>
        <v>43908</v>
      </c>
      <c r="AC64" s="2">
        <f>VLOOKUP(C64,Лист1!$B$1:$N$33,12,0)</f>
        <v>43908</v>
      </c>
      <c r="AD64" s="2">
        <f>VLOOKUP(C64,Лист1!$B$1:$N$33,13,0)</f>
        <v>45733</v>
      </c>
      <c r="AE64" t="s">
        <v>10</v>
      </c>
      <c r="AF64" t="s">
        <v>132</v>
      </c>
      <c r="AG64" t="s">
        <v>224</v>
      </c>
    </row>
    <row r="65" spans="1:34" hidden="1" x14ac:dyDescent="0.25">
      <c r="A65" s="2">
        <v>44286</v>
      </c>
      <c r="B65">
        <f>VLOOKUP(C65,Лист1!$B$1:$N$67,2,0)</f>
        <v>8517620003</v>
      </c>
      <c r="C65" t="s">
        <v>130</v>
      </c>
      <c r="D65" t="str">
        <f>VLOOKUP(C65,Лист1!$B$2:$T$45,14,0)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65">
        <v>4</v>
      </c>
      <c r="F65" s="19">
        <v>198</v>
      </c>
      <c r="G65" s="19">
        <f t="shared" ref="G65:G113" si="8">F65*E65</f>
        <v>792</v>
      </c>
      <c r="H65" t="str">
        <f>VLOOKUP(C65,Лист1!$B$1:$N$67,4,0)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65" t="s">
        <v>15</v>
      </c>
      <c r="J65" t="s">
        <v>18</v>
      </c>
      <c r="K65">
        <v>156</v>
      </c>
      <c r="L65" t="s">
        <v>10</v>
      </c>
      <c r="M65" t="s">
        <v>19</v>
      </c>
      <c r="N65" t="s">
        <v>13</v>
      </c>
      <c r="O65" t="s">
        <v>82</v>
      </c>
      <c r="P65">
        <v>10052</v>
      </c>
      <c r="Q65" t="str">
        <f>VLOOKUP(C65,Лист1!$B$1:$N$142,5,0)</f>
        <v>RU0000053828</v>
      </c>
      <c r="R65" s="4">
        <f>VLOOKUP(C65,Лист1!$B$1:$N$142,6,0)</f>
        <v>44431</v>
      </c>
      <c r="S65" s="4">
        <f>VLOOKUP(C65,Лист1!$B$1:$N$142,7,0)</f>
        <v>44431</v>
      </c>
      <c r="T65" s="4">
        <f>VLOOKUP(C65,Лист1!$B$1:$N$142,8,0)</f>
        <v>48213</v>
      </c>
      <c r="U65" s="10">
        <f>VLOOKUP(C65,Лист1!$B$1:$N$142,9,0)</f>
        <v>0.3</v>
      </c>
      <c r="V65" s="10">
        <f t="shared" si="7"/>
        <v>1.2</v>
      </c>
      <c r="W65">
        <v>1.2</v>
      </c>
      <c r="X65" s="1">
        <f>W65+W65*0.15</f>
        <v>1.38</v>
      </c>
      <c r="Y65" s="1"/>
      <c r="Z65" s="3"/>
      <c r="AA65" s="2" t="e">
        <f>VLOOKUP(C65,Лист1!$B$1:$N$33,10,0)</f>
        <v>#N/A</v>
      </c>
      <c r="AE65" t="s">
        <v>10</v>
      </c>
      <c r="AF65" t="s">
        <v>132</v>
      </c>
      <c r="AG65" t="s">
        <v>224</v>
      </c>
    </row>
    <row r="66" spans="1:34" ht="43.5" hidden="1" customHeight="1" x14ac:dyDescent="0.25">
      <c r="A66" s="2">
        <v>44286</v>
      </c>
      <c r="B66">
        <f>VLOOKUP(C66,Лист1!$B$1:$N$67,2,0)</f>
        <v>8517620003</v>
      </c>
      <c r="C66" t="s">
        <v>27</v>
      </c>
      <c r="D66" s="5" t="str">
        <f>VLOOKUP(C66,Лист1!$B$2:$T$45,14,0)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66">
        <v>4</v>
      </c>
      <c r="F66" s="19">
        <v>198</v>
      </c>
      <c r="G66" s="19">
        <f t="shared" si="8"/>
        <v>792</v>
      </c>
      <c r="H66" t="str">
        <f>VLOOKUP(C66,Лист1!$B$1:$N$67,4,0)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66" t="s">
        <v>15</v>
      </c>
      <c r="J66" t="s">
        <v>18</v>
      </c>
      <c r="K66">
        <v>156</v>
      </c>
      <c r="L66" t="s">
        <v>10</v>
      </c>
      <c r="M66" t="s">
        <v>19</v>
      </c>
      <c r="N66" t="s">
        <v>13</v>
      </c>
      <c r="O66" t="s">
        <v>82</v>
      </c>
      <c r="P66">
        <v>10052</v>
      </c>
      <c r="Q66" t="str">
        <f>VLOOKUP(C66,Лист1!$B$1:$N$142,5,0)</f>
        <v>RU0000053828</v>
      </c>
      <c r="R66" s="4">
        <f>VLOOKUP(C66,Лист1!$B$1:$N$142,6,0)</f>
        <v>44431</v>
      </c>
      <c r="S66" s="4">
        <f>VLOOKUP(C66,Лист1!$B$1:$N$142,7,0)</f>
        <v>44431</v>
      </c>
      <c r="T66" s="4">
        <f>VLOOKUP(C66,Лист1!$B$1:$N$142,8,0)</f>
        <v>48213</v>
      </c>
      <c r="U66" s="10">
        <f>VLOOKUP(C66,Лист1!$B$1:$N$142,9,0)</f>
        <v>0.3</v>
      </c>
      <c r="V66" s="10">
        <f t="shared" si="7"/>
        <v>1.2</v>
      </c>
      <c r="W66">
        <v>1.2</v>
      </c>
      <c r="X66" s="1">
        <f>W66+W66*0.15</f>
        <v>1.38</v>
      </c>
      <c r="Y66" s="1"/>
      <c r="Z66" s="3"/>
      <c r="AA66" s="2" t="str">
        <f>VLOOKUP(C66,Лист1!$B$1:$N$33,10,0)</f>
        <v>не требуется</v>
      </c>
      <c r="AE66" t="s">
        <v>10</v>
      </c>
      <c r="AF66" t="s">
        <v>132</v>
      </c>
      <c r="AG66" t="s">
        <v>224</v>
      </c>
    </row>
    <row r="67" spans="1:34" hidden="1" x14ac:dyDescent="0.25">
      <c r="A67" s="2">
        <v>44286</v>
      </c>
      <c r="B67">
        <f>VLOOKUP(C67,Лист1!$B$1:$N$67,2,0)</f>
        <v>8517620003</v>
      </c>
      <c r="C67" t="s">
        <v>28</v>
      </c>
      <c r="D67" t="str">
        <f>VLOOKUP(C67,Лист1!$B$2:$T$45,14,0)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67">
        <v>20</v>
      </c>
      <c r="F67" s="19">
        <v>198</v>
      </c>
      <c r="G67" s="19">
        <f t="shared" si="8"/>
        <v>3960</v>
      </c>
      <c r="H67" t="str">
        <f>VLOOKUP(C67,Лист1!$B$1:$N$67,4,0)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67" t="s">
        <v>15</v>
      </c>
      <c r="J67" t="s">
        <v>18</v>
      </c>
      <c r="K67">
        <v>156</v>
      </c>
      <c r="L67" t="s">
        <v>10</v>
      </c>
      <c r="M67" t="s">
        <v>19</v>
      </c>
      <c r="N67" t="s">
        <v>13</v>
      </c>
      <c r="O67" t="s">
        <v>82</v>
      </c>
      <c r="P67">
        <v>10052</v>
      </c>
      <c r="Q67" t="str">
        <f>VLOOKUP(C67,Лист1!$B$1:$N$142,5,0)</f>
        <v>RU0000053828</v>
      </c>
      <c r="R67" s="4">
        <f>VLOOKUP(C67,Лист1!$B$1:$N$142,6,0)</f>
        <v>44431</v>
      </c>
      <c r="S67" s="4">
        <f>VLOOKUP(C67,Лист1!$B$1:$N$142,7,0)</f>
        <v>44431</v>
      </c>
      <c r="T67" s="4">
        <f>VLOOKUP(C67,Лист1!$B$1:$N$142,8,0)</f>
        <v>48213</v>
      </c>
      <c r="U67" s="10">
        <f>VLOOKUP(C67,Лист1!$B$1:$N$142,9,0)</f>
        <v>0.3</v>
      </c>
      <c r="V67" s="10">
        <f t="shared" si="7"/>
        <v>6</v>
      </c>
      <c r="W67">
        <v>6</v>
      </c>
      <c r="X67" s="1">
        <f>W67+W67*0.15</f>
        <v>6.9</v>
      </c>
      <c r="Y67" s="1"/>
      <c r="Z67" s="3"/>
      <c r="AA67" s="2" t="str">
        <f>VLOOKUP(C67,Лист1!$B$1:$N$33,10,0)</f>
        <v>не требуется</v>
      </c>
      <c r="AE67" t="s">
        <v>10</v>
      </c>
      <c r="AF67" t="s">
        <v>132</v>
      </c>
      <c r="AG67" t="s">
        <v>224</v>
      </c>
    </row>
    <row r="68" spans="1:34" ht="27" hidden="1" customHeight="1" x14ac:dyDescent="0.25">
      <c r="A68" s="2">
        <v>44286</v>
      </c>
      <c r="B68">
        <f>VLOOKUP(C68,Лист1!$B$1:$N$67,2,0)</f>
        <v>8517620003</v>
      </c>
      <c r="C68" t="s">
        <v>91</v>
      </c>
      <c r="D68" t="str">
        <f>VLOOKUP(C68,Лист1!$B$2:$T$45,14,0)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68">
        <v>4</v>
      </c>
      <c r="F68" s="19">
        <v>499.5</v>
      </c>
      <c r="G68" s="19">
        <f t="shared" si="8"/>
        <v>1998</v>
      </c>
      <c r="H68" t="str">
        <f>VLOOKUP(C68,Лист1!$B$1:$N$67,4,0)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68" t="s">
        <v>15</v>
      </c>
      <c r="J68" t="s">
        <v>18</v>
      </c>
      <c r="K68">
        <v>156</v>
      </c>
      <c r="L68" t="s">
        <v>10</v>
      </c>
      <c r="M68" t="s">
        <v>19</v>
      </c>
      <c r="N68" t="s">
        <v>13</v>
      </c>
      <c r="O68" t="s">
        <v>82</v>
      </c>
      <c r="P68">
        <v>10052</v>
      </c>
      <c r="Q68" t="str">
        <f>VLOOKUP(C68,Лист1!$B$1:$N$142,5,0)</f>
        <v>RU0000049917</v>
      </c>
      <c r="R68" s="4">
        <f>VLOOKUP(C68,Лист1!$B$1:$N$142,6,0)</f>
        <v>44099</v>
      </c>
      <c r="S68" s="4">
        <f>VLOOKUP(C68,Лист1!$B$1:$N$142,7,0)</f>
        <v>44099</v>
      </c>
      <c r="T68" s="4">
        <f>VLOOKUP(C68,Лист1!$B$1:$N$142,8,0)</f>
        <v>47848</v>
      </c>
      <c r="U68" s="10">
        <f>VLOOKUP(C68,Лист1!$B$1:$N$142,9,0)</f>
        <v>1.9</v>
      </c>
      <c r="V68" s="10">
        <f t="shared" si="7"/>
        <v>7.6</v>
      </c>
      <c r="W68">
        <v>6</v>
      </c>
      <c r="X68" s="1">
        <f>W68+W68*0.15</f>
        <v>6.9</v>
      </c>
      <c r="Y68" s="1"/>
      <c r="Z68" s="3"/>
      <c r="AA68" s="2" t="str">
        <f>VLOOKUP(C68,Лист1!$B$1:$N$33,10,0)</f>
        <v>ЕАЭС N RU Д-CN.РА01.В.65848/21</v>
      </c>
      <c r="AE68" t="s">
        <v>10</v>
      </c>
      <c r="AF68" t="s">
        <v>132</v>
      </c>
      <c r="AG68" t="s">
        <v>224</v>
      </c>
    </row>
    <row r="69" spans="1:34" hidden="1" x14ac:dyDescent="0.25">
      <c r="A69" s="2">
        <v>44286</v>
      </c>
      <c r="B69">
        <f>VLOOKUP(C69,Лист1!$B$1:$N$67,2,0)</f>
        <v>8517620003</v>
      </c>
      <c r="C69" t="s">
        <v>131</v>
      </c>
      <c r="D69" t="str">
        <f>VLOOKUP(C69,Лист1!$B$2:$T$45,14,0)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69">
        <v>1</v>
      </c>
      <c r="F69" s="19">
        <v>555.5</v>
      </c>
      <c r="G69" s="19">
        <f t="shared" si="8"/>
        <v>555.5</v>
      </c>
      <c r="H69" t="str">
        <f>VLOOKUP(C69,Лист1!$B$1:$N$67,4,0)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69" t="s">
        <v>15</v>
      </c>
      <c r="J69" t="s">
        <v>18</v>
      </c>
      <c r="K69">
        <v>156</v>
      </c>
      <c r="L69" t="s">
        <v>10</v>
      </c>
      <c r="M69" t="s">
        <v>19</v>
      </c>
      <c r="N69" t="s">
        <v>13</v>
      </c>
      <c r="O69" t="s">
        <v>82</v>
      </c>
      <c r="P69">
        <v>10052</v>
      </c>
      <c r="Q69" t="str">
        <f>VLOOKUP(C69,Лист1!$B$1:$N$142,5,0)</f>
        <v>RU0000033119</v>
      </c>
      <c r="R69" s="4">
        <f>VLOOKUP(C69,Лист1!$B$1:$N$142,6,0)</f>
        <v>42972</v>
      </c>
      <c r="S69" s="4">
        <f>VLOOKUP(C69,Лист1!$B$1:$N$142,7,0)</f>
        <v>42972</v>
      </c>
      <c r="T69" s="4">
        <f>VLOOKUP(C69,Лист1!$B$1:$N$142,8,0)</f>
        <v>44369</v>
      </c>
      <c r="U69" s="10">
        <f>VLOOKUP(C69,Лист1!$B$1:$N$142,9,0)</f>
        <v>1.25</v>
      </c>
      <c r="V69" s="10">
        <f t="shared" si="7"/>
        <v>1.25</v>
      </c>
      <c r="W69">
        <v>1.3</v>
      </c>
      <c r="X69" s="1">
        <f>W69+W69*0.15</f>
        <v>1.4950000000000001</v>
      </c>
      <c r="Y69" s="1"/>
      <c r="Z69" s="3"/>
      <c r="AA69" s="2" t="e">
        <f>VLOOKUP(C69,Лист1!$B$1:$N$33,10,0)</f>
        <v>#N/A</v>
      </c>
      <c r="AE69" t="s">
        <v>10</v>
      </c>
      <c r="AF69" t="s">
        <v>132</v>
      </c>
      <c r="AG69" t="s">
        <v>224</v>
      </c>
    </row>
    <row r="70" spans="1:34" hidden="1" x14ac:dyDescent="0.25">
      <c r="A70" s="2">
        <v>44300</v>
      </c>
      <c r="B70">
        <f>VLOOKUP(C70,Лист1!$B$1:$N$67,2,0)</f>
        <v>8517620003</v>
      </c>
      <c r="C70" t="s">
        <v>133</v>
      </c>
      <c r="D70" t="str">
        <f>VLOOKUP(C70,Лист1!$B$2:$T$45,14,0)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70">
        <v>12</v>
      </c>
      <c r="F70" s="19">
        <v>540</v>
      </c>
      <c r="G70" s="19">
        <f t="shared" si="8"/>
        <v>6480</v>
      </c>
      <c r="H70" t="str">
        <f>VLOOKUP(C70,Лист1!$B$1:$N$67,4,0)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70" t="s">
        <v>15</v>
      </c>
      <c r="J70" t="s">
        <v>18</v>
      </c>
      <c r="K70">
        <v>156</v>
      </c>
      <c r="L70" t="s">
        <v>10</v>
      </c>
      <c r="M70" t="s">
        <v>19</v>
      </c>
      <c r="N70" t="s">
        <v>13</v>
      </c>
      <c r="O70" t="s">
        <v>82</v>
      </c>
      <c r="P70">
        <v>10052</v>
      </c>
      <c r="Q70" t="str">
        <f>VLOOKUP(C70,Лист1!$B$1:$N$142,5,0)</f>
        <v>RU0000033118</v>
      </c>
      <c r="R70" s="4">
        <f>VLOOKUP(C70,Лист1!$B$1:$N$142,6,0)</f>
        <v>42972</v>
      </c>
      <c r="S70" s="4">
        <f>VLOOKUP(C70,Лист1!$B$1:$N$142,7,0)</f>
        <v>42972</v>
      </c>
      <c r="T70" s="4">
        <f>VLOOKUP(C70,Лист1!$B$1:$N$142,8,0)</f>
        <v>44369</v>
      </c>
      <c r="U70" s="10">
        <f>VLOOKUP(C70,Лист1!$B$1:$N$142,9,0)</f>
        <v>1</v>
      </c>
      <c r="V70" s="10">
        <f>U70*E70</f>
        <v>12</v>
      </c>
      <c r="W70" s="10">
        <v>18</v>
      </c>
      <c r="X70" s="1">
        <f>W70+W70*0.28</f>
        <v>23.04</v>
      </c>
      <c r="Y70" s="1" t="s">
        <v>78</v>
      </c>
      <c r="Z70" s="3" t="s">
        <v>48</v>
      </c>
      <c r="AA70" s="2" t="e">
        <f>VLOOKUP(C70,Лист1!$B$1:$N$33,10,0)</f>
        <v>#N/A</v>
      </c>
      <c r="AB70" s="2" t="e">
        <f>VLOOKUP(C70,Лист1!$B$1:$N$33,11,0)</f>
        <v>#N/A</v>
      </c>
      <c r="AC70" s="2" t="e">
        <f>VLOOKUP(C70,Лист1!$B$1:$N$33,12,0)</f>
        <v>#N/A</v>
      </c>
      <c r="AD70" s="2" t="e">
        <f>VLOOKUP(C70,Лист1!$B$1:$N$33,13,0)</f>
        <v>#N/A</v>
      </c>
      <c r="AE70" t="s">
        <v>10</v>
      </c>
      <c r="AF70" t="s">
        <v>136</v>
      </c>
      <c r="AG70" t="s">
        <v>224</v>
      </c>
    </row>
    <row r="71" spans="1:34" hidden="1" x14ac:dyDescent="0.25">
      <c r="A71" s="2">
        <v>44300</v>
      </c>
      <c r="B71">
        <f>VLOOKUP(C71,Лист1!$B$1:$N$67,2,0)</f>
        <v>8517620003</v>
      </c>
      <c r="C71" t="s">
        <v>135</v>
      </c>
      <c r="D71" t="str">
        <f>VLOOKUP(C71,Лист1!$B$2:$T$45,14,0)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71">
        <v>2</v>
      </c>
      <c r="F71" s="19">
        <v>349.5</v>
      </c>
      <c r="G71" s="19">
        <f t="shared" si="8"/>
        <v>699</v>
      </c>
      <c r="H71" t="str">
        <f>VLOOKUP(C71,Лист1!$B$1:$N$67,4,0)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71" t="s">
        <v>15</v>
      </c>
      <c r="J71" t="s">
        <v>18</v>
      </c>
      <c r="K71">
        <v>156</v>
      </c>
      <c r="L71" t="s">
        <v>10</v>
      </c>
      <c r="M71" t="s">
        <v>19</v>
      </c>
      <c r="N71" t="s">
        <v>13</v>
      </c>
      <c r="O71" t="s">
        <v>82</v>
      </c>
      <c r="P71">
        <v>10052</v>
      </c>
      <c r="Q71" t="str">
        <f>VLOOKUP(C71,Лист1!$B$1:$N$142,5,0)</f>
        <v>RU0000049917</v>
      </c>
      <c r="R71" s="4">
        <f>VLOOKUP(C71,Лист1!$B$1:$N$142,6,0)</f>
        <v>44099</v>
      </c>
      <c r="S71" s="4">
        <f>VLOOKUP(C71,Лист1!$B$1:$N$142,7,0)</f>
        <v>44099</v>
      </c>
      <c r="T71" s="4">
        <f>VLOOKUP(C71,Лист1!$B$1:$N$142,8,0)</f>
        <v>47848</v>
      </c>
      <c r="U71" s="10">
        <f>VLOOKUP(C71,Лист1!$B$1:$N$142,9,0)</f>
        <v>1.5</v>
      </c>
      <c r="V71" s="10">
        <f>U71*E71</f>
        <v>3</v>
      </c>
      <c r="W71" s="10">
        <v>3</v>
      </c>
      <c r="X71" s="1">
        <f>W71+W71*0.28</f>
        <v>3.84</v>
      </c>
      <c r="Y71" s="1" t="s">
        <v>78</v>
      </c>
      <c r="Z71" s="3" t="s">
        <v>48</v>
      </c>
      <c r="AA71" s="2" t="e">
        <f>VLOOKUP(C71,Лист1!$B$1:$N$33,10,0)</f>
        <v>#N/A</v>
      </c>
      <c r="AB71" s="2" t="e">
        <f>VLOOKUP(C71,Лист1!$B$1:$N$33,11,0)</f>
        <v>#N/A</v>
      </c>
      <c r="AC71" s="2" t="e">
        <f>VLOOKUP(C71,Лист1!$B$1:$N$33,12,0)</f>
        <v>#N/A</v>
      </c>
      <c r="AD71" s="2" t="e">
        <f>VLOOKUP(C71,Лист1!$B$1:$N$33,13,0)</f>
        <v>#N/A</v>
      </c>
      <c r="AE71" t="s">
        <v>10</v>
      </c>
      <c r="AF71" t="s">
        <v>136</v>
      </c>
      <c r="AG71" t="s">
        <v>224</v>
      </c>
    </row>
    <row r="72" spans="1:34" hidden="1" x14ac:dyDescent="0.25">
      <c r="A72" s="2">
        <v>44300</v>
      </c>
      <c r="B72">
        <f>VLOOKUP(C72,Лист1!$B$1:$N$67,2,0)</f>
        <v>8517620003</v>
      </c>
      <c r="C72" t="s">
        <v>134</v>
      </c>
      <c r="D72" t="str">
        <f>VLOOKUP(C72,Лист1!$B$2:$T$45,14,0)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72">
        <v>12</v>
      </c>
      <c r="F72" s="19">
        <v>574.5</v>
      </c>
      <c r="G72" s="19">
        <f t="shared" si="8"/>
        <v>6894</v>
      </c>
      <c r="H72" t="str">
        <f>VLOOKUP(C72,Лист1!$B$1:$N$67,4,0)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72" t="s">
        <v>15</v>
      </c>
      <c r="J72" t="s">
        <v>18</v>
      </c>
      <c r="K72">
        <v>156</v>
      </c>
      <c r="L72" t="s">
        <v>10</v>
      </c>
      <c r="M72" t="s">
        <v>19</v>
      </c>
      <c r="N72" t="s">
        <v>13</v>
      </c>
      <c r="O72" t="s">
        <v>82</v>
      </c>
      <c r="P72">
        <v>10052</v>
      </c>
      <c r="Q72" t="str">
        <f>VLOOKUP(C72,Лист1!$B$1:$N$142,5,0)</f>
        <v>RU0000049917</v>
      </c>
      <c r="R72" s="4">
        <f>VLOOKUP(C72,Лист1!$B$1:$N$142,6,0)</f>
        <v>44099</v>
      </c>
      <c r="S72" s="4">
        <f>VLOOKUP(C72,Лист1!$B$1:$N$142,7,0)</f>
        <v>44099</v>
      </c>
      <c r="T72" s="4">
        <f>VLOOKUP(C72,Лист1!$B$1:$N$142,8,0)</f>
        <v>47848</v>
      </c>
      <c r="U72" s="10">
        <f>VLOOKUP(C72,Лист1!$B$1:$N$142,9,0)</f>
        <v>1.5</v>
      </c>
      <c r="V72" s="10">
        <f>U72*E72</f>
        <v>18</v>
      </c>
      <c r="W72" s="10">
        <v>18</v>
      </c>
      <c r="X72" s="1">
        <v>23.12</v>
      </c>
      <c r="Y72" s="1" t="s">
        <v>78</v>
      </c>
      <c r="Z72" s="3" t="s">
        <v>48</v>
      </c>
      <c r="AA72" s="2" t="e">
        <f>VLOOKUP(C72,Лист1!$B$1:$N$33,10,0)</f>
        <v>#N/A</v>
      </c>
      <c r="AB72" s="2" t="e">
        <f>VLOOKUP(C72,Лист1!$B$1:$N$33,11,0)</f>
        <v>#N/A</v>
      </c>
      <c r="AC72" s="2" t="e">
        <f>VLOOKUP(C72,Лист1!$B$1:$N$33,12,0)</f>
        <v>#N/A</v>
      </c>
      <c r="AD72" s="2" t="e">
        <f>VLOOKUP(C72,Лист1!$B$1:$N$33,13,0)</f>
        <v>#N/A</v>
      </c>
      <c r="AE72" t="s">
        <v>10</v>
      </c>
      <c r="AF72" t="s">
        <v>136</v>
      </c>
      <c r="AG72" t="s">
        <v>224</v>
      </c>
    </row>
    <row r="73" spans="1:34" hidden="1" x14ac:dyDescent="0.25">
      <c r="A73" s="2">
        <v>44315</v>
      </c>
      <c r="B73">
        <f>VLOOKUP(C73,Лист1!$B$1:$N$67,2,0)</f>
        <v>8517620003</v>
      </c>
      <c r="C73" t="s">
        <v>137</v>
      </c>
      <c r="D73" t="str">
        <f>VLOOKUP(C73,Лист1!$B$2:$T$45,14,0)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73">
        <v>27</v>
      </c>
      <c r="F73" s="19">
        <v>490</v>
      </c>
      <c r="G73" s="19">
        <f>F73*E73</f>
        <v>13230</v>
      </c>
      <c r="H73" t="str">
        <f>VLOOKUP(C73,Лист1!$B$1:$N$67,4,0)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73" t="s">
        <v>15</v>
      </c>
      <c r="J73" t="s">
        <v>18</v>
      </c>
      <c r="K73">
        <v>156</v>
      </c>
      <c r="L73" t="s">
        <v>10</v>
      </c>
      <c r="M73" t="s">
        <v>19</v>
      </c>
      <c r="N73" t="s">
        <v>13</v>
      </c>
      <c r="O73" t="s">
        <v>82</v>
      </c>
      <c r="P73">
        <v>10052</v>
      </c>
      <c r="Q73" s="14" t="s">
        <v>139</v>
      </c>
      <c r="R73" s="4">
        <f>VLOOKUP(C73,Лист1!$B$1:$N$142,6,0)</f>
        <v>44284</v>
      </c>
      <c r="S73" s="4">
        <f>VLOOKUP(C73,Лист1!$B$1:$N$142,7,0)</f>
        <v>44284</v>
      </c>
      <c r="T73" s="4">
        <f>VLOOKUP(C73,Лист1!$B$1:$N$142,8,0)</f>
        <v>47848</v>
      </c>
      <c r="U73" s="10">
        <f>VLOOKUP(C73,Лист1!$B$1:$N$142,9,0)</f>
        <v>1.25</v>
      </c>
      <c r="V73" s="10">
        <v>40.5</v>
      </c>
      <c r="W73">
        <v>40.5</v>
      </c>
      <c r="X73" s="1">
        <v>49.5</v>
      </c>
      <c r="Y73" s="1" t="s">
        <v>78</v>
      </c>
      <c r="Z73" s="3" t="s">
        <v>48</v>
      </c>
      <c r="AA73" s="2" t="str">
        <f>VLOOKUP(C73,Лист1!$B$1:$N$92,10,0)</f>
        <v>ЕАЭС N RU Д-CN.РА01.В.32748/21</v>
      </c>
      <c r="AB73" s="2">
        <f>VLOOKUP(C73,Лист1!$B$1:$N$92,11,0)</f>
        <v>44309</v>
      </c>
      <c r="AC73" s="2">
        <f>VLOOKUP(C73,Лист1!$B$1:$N$92,12,0)</f>
        <v>44309</v>
      </c>
      <c r="AD73" s="2">
        <f>VLOOKUP(C73,Лист1!$B$1:$N$92,13,0)</f>
        <v>46134</v>
      </c>
      <c r="AE73" t="s">
        <v>10</v>
      </c>
      <c r="AF73" t="s">
        <v>141</v>
      </c>
      <c r="AG73" t="s">
        <v>224</v>
      </c>
    </row>
    <row r="74" spans="1:34" hidden="1" x14ac:dyDescent="0.25">
      <c r="A74" s="2">
        <v>44315</v>
      </c>
      <c r="B74">
        <f>VLOOKUP(C74,Лист1!$B$1:$N$67,2,0)</f>
        <v>8517620003</v>
      </c>
      <c r="C74" t="s">
        <v>138</v>
      </c>
      <c r="D74" t="str">
        <f>VLOOKUP(C74,Лист1!$B$2:$T$45,14,0)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74">
        <v>9</v>
      </c>
      <c r="F74" s="19">
        <v>649.5</v>
      </c>
      <c r="G74" s="19">
        <f t="shared" si="8"/>
        <v>5845.5</v>
      </c>
      <c r="H74" t="str">
        <f>VLOOKUP(C74,Лист1!$B$1:$N$67,4,0)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74" t="s">
        <v>15</v>
      </c>
      <c r="J74" t="s">
        <v>18</v>
      </c>
      <c r="K74">
        <v>156</v>
      </c>
      <c r="L74" t="s">
        <v>10</v>
      </c>
      <c r="M74" t="s">
        <v>19</v>
      </c>
      <c r="N74" t="s">
        <v>13</v>
      </c>
      <c r="O74" t="s">
        <v>82</v>
      </c>
      <c r="P74">
        <v>10052</v>
      </c>
      <c r="Q74" t="str">
        <f>VLOOKUP(C74,Лист1!$B$1:$N$142,5,0)</f>
        <v>RU0000049917</v>
      </c>
      <c r="R74" s="4">
        <f>VLOOKUP(C74,Лист1!$B$1:$N$142,6,0)</f>
        <v>44099</v>
      </c>
      <c r="S74" s="4">
        <f>VLOOKUP(C74,Лист1!$B$1:$N$142,7,0)</f>
        <v>44099</v>
      </c>
      <c r="T74" s="4">
        <f>VLOOKUP(C74,Лист1!$B$1:$N$142,8,0)</f>
        <v>47848</v>
      </c>
      <c r="U74" s="10">
        <f>VLOOKUP(C74,Лист1!$B$1:$N$142,9,0)</f>
        <v>1.5</v>
      </c>
      <c r="V74" s="10">
        <f t="shared" si="7"/>
        <v>13.5</v>
      </c>
      <c r="W74">
        <v>13.5</v>
      </c>
      <c r="X74" s="1">
        <v>16.5</v>
      </c>
      <c r="Y74" s="1" t="s">
        <v>78</v>
      </c>
      <c r="Z74" s="3" t="s">
        <v>48</v>
      </c>
      <c r="AA74" s="2" t="str">
        <f>VLOOKUP(C74,Лист1!$B$1:$N$92,10,0)</f>
        <v>ЕАЭС N RU Д-CN.РА01.В.65848/21</v>
      </c>
      <c r="AB74" s="2">
        <f>VLOOKUP(C74,Лист1!$B$1:$N$92,11,0)</f>
        <v>44330</v>
      </c>
      <c r="AC74" s="2">
        <f>VLOOKUP(C74,Лист1!$B$1:$N$92,12,0)</f>
        <v>44330</v>
      </c>
      <c r="AD74" s="2">
        <f>VLOOKUP(C74,Лист1!$B$1:$N$92,13,0)</f>
        <v>46154</v>
      </c>
      <c r="AE74" t="s">
        <v>10</v>
      </c>
      <c r="AF74" t="s">
        <v>141</v>
      </c>
      <c r="AG74" t="s">
        <v>224</v>
      </c>
    </row>
    <row r="75" spans="1:34" hidden="1" x14ac:dyDescent="0.25">
      <c r="A75" s="2">
        <v>44348</v>
      </c>
      <c r="B75">
        <f>VLOOKUP(C75,Лист1!$B$1:$N$67,2,0)</f>
        <v>8517620003</v>
      </c>
      <c r="C75" t="s">
        <v>142</v>
      </c>
      <c r="D75" t="str">
        <f>VLOOKUP(C75,Лист1!$B$2:$T$292,14,0)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75">
        <v>1</v>
      </c>
      <c r="F75" s="19">
        <v>1595</v>
      </c>
      <c r="G75" s="19">
        <f t="shared" si="8"/>
        <v>1595</v>
      </c>
      <c r="H75" t="str">
        <f>VLOOKUP(C75,Лист1!$B$1:$N$67,4,0)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75" t="s">
        <v>15</v>
      </c>
      <c r="J75" t="s">
        <v>18</v>
      </c>
      <c r="K75">
        <v>156</v>
      </c>
      <c r="L75" t="s">
        <v>10</v>
      </c>
      <c r="M75" t="s">
        <v>19</v>
      </c>
      <c r="N75" t="s">
        <v>13</v>
      </c>
      <c r="O75" t="s">
        <v>82</v>
      </c>
      <c r="P75">
        <v>10052</v>
      </c>
      <c r="Q75" t="str">
        <f>VLOOKUP(C75,Лист1!$B$1:$N$142,5,0)</f>
        <v>RU0000033119</v>
      </c>
      <c r="R75" s="4">
        <f>VLOOKUP(C75,Лист1!$B$1:$N$142,6,0)</f>
        <v>42972</v>
      </c>
      <c r="S75" s="4">
        <f>VLOOKUP(C75,Лист1!$B$1:$N$142,7,0)</f>
        <v>42972</v>
      </c>
      <c r="T75" s="4">
        <f>VLOOKUP(C75,Лист1!$B$1:$N$142,8,0)</f>
        <v>44369</v>
      </c>
      <c r="U75" s="10">
        <f>VLOOKUP(C75,Лист1!$B$1:$N$142,9,0)</f>
        <v>4</v>
      </c>
      <c r="V75" s="10">
        <f t="shared" si="7"/>
        <v>4</v>
      </c>
      <c r="W75">
        <v>5</v>
      </c>
      <c r="X75" s="1">
        <f>W75+W75*0.23</f>
        <v>6.15</v>
      </c>
      <c r="Y75" s="1" t="s">
        <v>78</v>
      </c>
      <c r="Z75" s="3" t="s">
        <v>48</v>
      </c>
      <c r="AA75" s="2" t="str">
        <f>VLOOKUP(C75,Лист1!$B$1:$N$92,10,0)</f>
        <v>ЕАЭС N RU Д-CN.КА01.В.17403/19</v>
      </c>
      <c r="AB75" s="2">
        <f>VLOOKUP(C75,Лист1!$B$1:$N$92,11,0)</f>
        <v>43787</v>
      </c>
      <c r="AC75" s="2">
        <f>VLOOKUP(C75,Лист1!$B$1:$N$92,12,0)</f>
        <v>43787</v>
      </c>
      <c r="AD75" s="2">
        <f>VLOOKUP(C75,Лист1!$B$1:$N$92,13,0)</f>
        <v>45613</v>
      </c>
      <c r="AE75" t="s">
        <v>10</v>
      </c>
      <c r="AF75" t="s">
        <v>154</v>
      </c>
      <c r="AG75" t="s">
        <v>224</v>
      </c>
      <c r="AH75" t="str">
        <f>VLOOKUP(C75,Лист1!B1:P287,15,0)</f>
        <v xml:space="preserve">SICOM3024P-24M-ST05-HV-HV-S - промышленные коммутаторы 2 уровня, монтируемые в 19" стойку. Устройства имеют 4 гигабитных порта и 24 порта 100 Мбит/с, которые могут быть как медными так и оптическими.
Коммутаторы крепятся в 19-дюймовую стойку (занимают 1U). Устройства соответствуют IEC61850-3, IEEE1613, EN50155, EN50121-4, NEMA TS-2 для использования в энергетике и на транспорте. Диапазон рабочих температур коммутаторов SICOM3024P-24M-ST05-HV-HV-S от -40° до +85°. 
Характеристики
Порты
Медные или оптические порты 100 Мбит/с 
24
Системная производительность
Стандарты: 
IEEE 802.3i, IEEE 802.3u, IEEE 802.3ab, IEEE 802.3z, IEEE 802.3x, IEEE 802.1p, IEEE 802.1Q, IEEE 802.1s 
Протоколы 
DT-Ring, DT-Ring+, MSTP
IGMP Snooping, GMRP; 
VLAN, PVLAN; 
Telnet, HTTP, HTTPS, SNMPv1/v2/v3, RMON, LLDP, DHCP server; 
SNTP, RTC;
DT-Psec, SSH, SSL, ACL;
FTP, Syslog;
ARP, QoS 
Пропускная способность устройства 
9.5 Mpps 
Питание
Напряжение питания 
Резервированное: 220VAC/DCW (85-264Вольт переменного тока / 77-300Вольт постоянного тока) 
Потребляемая мощность 
менее 30 Вт 
Механические характеристики
Размеры
482.6×44×322.5 мм 
Крепление 
19” стойка 
Класс защиты 
IP40 
Рабочая температура 
от -40 до +85С 
Температура хранения 
-40 до +85C 
Влажность 
от 5 до 95% (без конденсата) 
MTBF 
346889 часов 
Гарантия 
5 лет 
</v>
      </c>
    </row>
    <row r="76" spans="1:34" hidden="1" x14ac:dyDescent="0.25">
      <c r="A76" s="2">
        <v>44348</v>
      </c>
      <c r="B76">
        <f>VLOOKUP(C76,Лист1!$B$1:$N$67,2,0)</f>
        <v>8517620003</v>
      </c>
      <c r="C76" t="s">
        <v>143</v>
      </c>
      <c r="D76" t="str">
        <f>VLOOKUP(C76,Лист1!$B$2:$T$292,14,0)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76">
        <v>1</v>
      </c>
      <c r="F76" s="19">
        <v>1244</v>
      </c>
      <c r="G76" s="19">
        <f t="shared" si="8"/>
        <v>1244</v>
      </c>
      <c r="H76" t="str">
        <f>VLOOKUP(C76,Лист1!$B$1:$N$67,4,0)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76" t="s">
        <v>15</v>
      </c>
      <c r="J76" t="s">
        <v>18</v>
      </c>
      <c r="K76">
        <v>156</v>
      </c>
      <c r="L76" t="s">
        <v>10</v>
      </c>
      <c r="M76" t="s">
        <v>19</v>
      </c>
      <c r="N76" t="s">
        <v>13</v>
      </c>
      <c r="O76" t="s">
        <v>82</v>
      </c>
      <c r="P76">
        <v>10052</v>
      </c>
      <c r="Q76" t="str">
        <f>VLOOKUP(C76,Лист1!$B$1:$N$142,5,0)</f>
        <v>RU0000033120</v>
      </c>
      <c r="R76" s="4">
        <f>VLOOKUP(C76,Лист1!$B$1:$N$142,6,0)</f>
        <v>42972</v>
      </c>
      <c r="S76" s="4">
        <f>VLOOKUP(C76,Лист1!$B$1:$N$142,7,0)</f>
        <v>42972</v>
      </c>
      <c r="T76" s="4">
        <f>VLOOKUP(C76,Лист1!$B$1:$N$142,8,0)</f>
        <v>44369</v>
      </c>
      <c r="U76" s="10">
        <f>VLOOKUP(C76,Лист1!$B$1:$N$142,9,0)</f>
        <v>4</v>
      </c>
      <c r="V76" s="10">
        <f t="shared" si="7"/>
        <v>4</v>
      </c>
      <c r="W76">
        <v>5</v>
      </c>
      <c r="X76" s="1">
        <f t="shared" ref="X76:X77" si="9">W76+W76*0.23</f>
        <v>6.15</v>
      </c>
      <c r="Y76" s="1" t="s">
        <v>78</v>
      </c>
      <c r="Z76" s="3" t="s">
        <v>48</v>
      </c>
      <c r="AA76" s="2" t="str">
        <f>VLOOKUP(C76,Лист1!$B$1:$N$92,10,0)</f>
        <v>ЕАЭС N RU Д-CN.КА01.В.17403/19</v>
      </c>
      <c r="AB76" s="2">
        <f>VLOOKUP(C76,Лист1!$B$1:$N$92,11,0)</f>
        <v>43787</v>
      </c>
      <c r="AC76" s="2">
        <f>VLOOKUP(C76,Лист1!$B$1:$N$92,12,0)</f>
        <v>43787</v>
      </c>
      <c r="AD76" s="2">
        <f>VLOOKUP(C76,Лист1!$B$1:$N$92,13,0)</f>
        <v>45613</v>
      </c>
      <c r="AE76" t="s">
        <v>10</v>
      </c>
      <c r="AF76" t="s">
        <v>154</v>
      </c>
      <c r="AG76" t="s">
        <v>224</v>
      </c>
      <c r="AH76" t="str">
        <f>VLOOKUP(C76,Лист1!B2:P288,15,0)</f>
        <v xml:space="preserve">SICOM3024P-16M-ST05-HV-HV-S - промышленные коммутаторы 2 уровня, монтируемые в 19" стойку. Устройства имеют 4 гигабитных порта и 24 порта 100 Мбит/с, которые могут быть как медными так и оптическими.
Коммутаторы крепятся в 19-дюймовую стойку (занимают 1U). Устройства соответствуют IEC61850-3, IEEE1613, EN50155, EN50121-4, NEMA TS-2 для использования в энергетике и на транспорте. Диапазон рабочих температур коммутаторов SICOM3024P-16M-ST05-HV-HV-S от -40° до +85°. 
Характеристики
Порты
Медные или оптические порты 100 Мбит/с 
16 
Системная производительность
Стандарты: 
IEEE 802.3i, IEEE 802.3u, IEEE 802.3ab, IEEE 802.3z, IEEE 802.3x, IEEE 802.1p, IEEE 802.1Q, IEEE 802.1s 
Протоколы 
DT-Ring, DT-Ring+, MSTP
IGMP Snooping, GMRP; 
VLAN, PVLAN; 
Telnet, HTTP, HTTPS, SNMPv1/v2/v3, RMON, LLDP, DHCP server; 
SNTP, RTC;
DT-Psec, SSH, SSL, ACL;
FTP, Syslog;
ARP, QoS 
Пропускная способность устройства 
9.5 Mpps 
Питание
Напряжение питания 
Резервированное: 220VAC/DCW (85-264Вольт переменного тока / 77-300Вольт постоянного тока) 
Потребляемая мощность 
менее 30 Вт 
Механические характеристики
Размеры
482.6×44×322.5 мм 
Крепление 
19” стойка 
Класс защиты 
IP40 
Рабочая температура 
от -40 до +85С 
Температура хранения 
-40 до +85C 
Влажность 
от 5 до 95% (без конденсата) 
MTBF 
346889 часов 
Гарантия 
5 лет 
</v>
      </c>
    </row>
    <row r="77" spans="1:34" ht="128.25" hidden="1" customHeight="1" x14ac:dyDescent="0.25">
      <c r="A77" s="2">
        <v>44348</v>
      </c>
      <c r="B77">
        <f>VLOOKUP(C77,Лист1!$B$1:$N$67,2,0)</f>
        <v>8517620003</v>
      </c>
      <c r="C77" t="s">
        <v>137</v>
      </c>
      <c r="D77" s="5" t="str">
        <f>VLOOKUP(C77,Лист1!$B$2:$T$292,14,0)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77">
        <v>4</v>
      </c>
      <c r="F77" s="19">
        <v>490</v>
      </c>
      <c r="G77" s="19">
        <f t="shared" si="8"/>
        <v>1960</v>
      </c>
      <c r="H77" t="str">
        <f>VLOOKUP(C77,Лист1!$B$1:$N$67,4,0)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77" t="s">
        <v>15</v>
      </c>
      <c r="J77" t="s">
        <v>18</v>
      </c>
      <c r="K77">
        <v>156</v>
      </c>
      <c r="L77" t="s">
        <v>10</v>
      </c>
      <c r="M77" t="s">
        <v>19</v>
      </c>
      <c r="N77" t="s">
        <v>13</v>
      </c>
      <c r="O77" t="s">
        <v>82</v>
      </c>
      <c r="P77">
        <v>10052</v>
      </c>
      <c r="Q77" t="str">
        <f>VLOOKUP(C77,Лист1!$B$1:$N$142,5,0)</f>
        <v>RU0000051996</v>
      </c>
      <c r="R77" s="4">
        <f>VLOOKUP(C77,Лист1!$B$1:$N$142,6,0)</f>
        <v>44284</v>
      </c>
      <c r="S77" s="4">
        <f>VLOOKUP(C77,Лист1!$B$1:$N$142,7,0)</f>
        <v>44284</v>
      </c>
      <c r="T77" s="4">
        <f>VLOOKUP(C77,Лист1!$B$1:$N$142,8,0)</f>
        <v>47848</v>
      </c>
      <c r="U77" s="10">
        <f>VLOOKUP(C77,Лист1!$B$1:$N$142,9,0)</f>
        <v>1.25</v>
      </c>
      <c r="V77" s="10">
        <f t="shared" si="7"/>
        <v>5</v>
      </c>
      <c r="W77">
        <v>5</v>
      </c>
      <c r="X77" s="1">
        <f t="shared" si="9"/>
        <v>6.15</v>
      </c>
      <c r="Y77" s="1" t="s">
        <v>78</v>
      </c>
      <c r="Z77" s="3" t="s">
        <v>48</v>
      </c>
      <c r="AA77" s="2" t="str">
        <f>VLOOKUP(C77,Лист1!$B$1:$N$92,10,0)</f>
        <v>ЕАЭС N RU Д-CN.РА01.В.32748/21</v>
      </c>
      <c r="AB77" s="2">
        <f>VLOOKUP(C77,Лист1!$B$1:$N$92,11,0)</f>
        <v>44309</v>
      </c>
      <c r="AC77" s="2">
        <f>VLOOKUP(C77,Лист1!$B$1:$N$92,12,0)</f>
        <v>44309</v>
      </c>
      <c r="AD77" s="2">
        <f>VLOOKUP(C77,Лист1!$B$1:$N$92,13,0)</f>
        <v>46134</v>
      </c>
      <c r="AE77" t="s">
        <v>10</v>
      </c>
      <c r="AF77" t="s">
        <v>154</v>
      </c>
      <c r="AG77" t="s">
        <v>224</v>
      </c>
      <c r="AH77" t="str">
        <f>VLOOKUP(C77,Лист1!$B$3:$P$289,15,0)</f>
        <v xml:space="preserve">RubySYM3A-3G-L2-L2 -УСТРОЙСТВО RUBY3A ОТ КОМПАНИИ KYLAND ПОДДЕРЖИВАЕТ ОДНОВРЕМЕННО ПРОТОКОЛЫ РЕЗЕРВИРОВАНИЯ HIGH AVAILABILITY SEAMLESS REDUNDANCY (HSR) И PARALLEL REDUNDANCY PROTOCOL (PRP). RUBY3ОБЕСПЕЧИВАЕТ БЕСПЕРЕБОЙНУЮ РАБОТУ ПРИ ЛЮБОМ ВОЗМОЖНОМ СБОЕ В СЕТИ. ЭТО ДОСТИГАЕТСЯ ОДНОВРЕМЕННОЙ ДУБЛИРОВАННОЙ ПЕРЕДАЧЕЙ ДАННЫХ ПО НЕЗАВИСИМЫМ МАРШРУТАМ ДЛЯ ОБЕСПЕЧЕНИЯ РЕЗЕРВИРОВАНИЯ НА УРОВНЕ КАНАЛОВ.  
Характеристики
•	Пароли – Многоуровневые пароли для защиты от неавторизованного доступа
•	SSH / SSL – Расширение парольной защиты, добавляющая 128-битное шифрование данных при передаче по сети
•	Защита MAC адресов – Возможность защищать порты так, чтобы доступ был только у устройств с авторизованными MAC адресами
•	RADIUS – Централизованная аутентификация с использованием хэш-функции MD5
•	SNMPv3 – Шифрование аутентификационной информации, передаваемой по сети (CBC-DES с ключом 56 бит)
•	SSL – Веб-управление с использованием шифрования (128 битный ключ)
•	Защита от ЭМИ и скачков напряжений
o	IEC 62439-3 PRP
o	IEEE 1613 (работа на электроподстанциях)
o	IEC 61850-3 (работа на электроподстанциях)
•	Рабочая температура: от –40°C до +85°C
•	Нет движущихся частей
•	Веб, Telnet, CLI
•	SNMP v1/v2/v3 (56-бит шифрование)
•	Удалённый мониторинг (RMON)
•	Широкий набор функций диагностики и протоколирования
•	Поддержка IEC 62439 MIB
•	Потребляемое напряжение: 24-48VDC (18-72Вольт постоянного тока)
•	Клеммная колодка для надёжных и удобных подключений кабелей
•	Размеры(ДхВхШ): 66*135*107.5 мм 
</v>
      </c>
    </row>
    <row r="78" spans="1:34" ht="54.75" hidden="1" customHeight="1" x14ac:dyDescent="0.25">
      <c r="A78" s="2">
        <v>44348</v>
      </c>
      <c r="B78">
        <f>VLOOKUP(C78,Лист1!$B$1:$N$67,2,0)</f>
        <v>8517620003</v>
      </c>
      <c r="C78" t="s">
        <v>147</v>
      </c>
      <c r="D78" s="5" t="str">
        <f>VLOOKUP(C78,Лист1!$B$2:$T$292,14,0)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78">
        <v>1</v>
      </c>
      <c r="F78" s="19">
        <v>2160</v>
      </c>
      <c r="G78" s="19">
        <f t="shared" si="8"/>
        <v>2160</v>
      </c>
      <c r="H78" t="str">
        <f>VLOOKUP(C78,Лист1!$B$1:$N$67,4,0)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78" t="s">
        <v>15</v>
      </c>
      <c r="J78" t="s">
        <v>18</v>
      </c>
      <c r="K78">
        <v>156</v>
      </c>
      <c r="L78" t="s">
        <v>10</v>
      </c>
      <c r="M78" t="s">
        <v>19</v>
      </c>
      <c r="N78" t="s">
        <v>13</v>
      </c>
      <c r="O78" t="s">
        <v>82</v>
      </c>
      <c r="P78">
        <v>10052</v>
      </c>
      <c r="Q78" t="str">
        <f>VLOOKUP(C78,Лист1!$B$1:$N$142,5,0)</f>
        <v>RU0000053245</v>
      </c>
      <c r="R78" s="4">
        <f>VLOOKUP(C78,Лист1!$B$1:$N$142,6,0)</f>
        <v>44383</v>
      </c>
      <c r="S78" s="4">
        <f>VLOOKUP(C78,Лист1!$B$1:$N$142,7,0)</f>
        <v>44383</v>
      </c>
      <c r="T78" s="4">
        <f>VLOOKUP(C78,Лист1!$B$1:$N$142,8,0)</f>
        <v>48213</v>
      </c>
      <c r="U78" s="10">
        <f>VLOOKUP(C78,Лист1!$B$1:$N$142,9,0)</f>
        <v>10</v>
      </c>
      <c r="V78" s="10">
        <f t="shared" si="7"/>
        <v>10</v>
      </c>
      <c r="W78">
        <v>8</v>
      </c>
      <c r="X78" s="1">
        <v>10.55</v>
      </c>
      <c r="Y78" s="1" t="s">
        <v>78</v>
      </c>
      <c r="Z78" s="3" t="s">
        <v>48</v>
      </c>
      <c r="AA78" s="2" t="str">
        <f>VLOOKUP(C78,Лист1!$B$1:$N$92,10,0)</f>
        <v>ЕАЭС N RU Д-CN.КА01.В.23216/20</v>
      </c>
      <c r="AB78" s="2">
        <f>VLOOKUP(C78,Лист1!$B$1:$N$92,11,0)</f>
        <v>43908</v>
      </c>
      <c r="AC78" s="2">
        <f>VLOOKUP(C78,Лист1!$B$1:$N$92,12,0)</f>
        <v>43908</v>
      </c>
      <c r="AD78" s="2">
        <f>VLOOKUP(C78,Лист1!$B$1:$N$92,13,0)</f>
        <v>45733</v>
      </c>
      <c r="AE78" t="s">
        <v>10</v>
      </c>
      <c r="AF78" t="s">
        <v>154</v>
      </c>
      <c r="AG78" t="s">
        <v>224</v>
      </c>
      <c r="AH78" t="str">
        <f>VLOOKUP(C78,Лист1!$B$3:$P$289,15,0)</f>
        <v xml:space="preserve">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Характеристики
Порты
Оптические или медные порты 100 Мбит/с 
до 24 
Оптические или медные гигабитные порты 
до 28 (SICOM3028GPT-L3G) 
до 4 (SICOM3028GPT-L3G) 
Системная производительность
Стандарты: 
IEEE 802.3i, IEEE 802.3u, IEEE 802.3ab, IEEE802.3ac, IEEE 802.3ad, IEEE 802.3z, IEEE 802.3x, IEEE 802.1p, IEEE 802.1Q, IEEE 802.1s, IEEE802.1X, IEC62439-6,
IEC 61850-8-1 GOOSE сообщения 
Протоколы 
DT-Ring, DT-Ring+, MSTP, DRP, VRRP; IGMP, IGMP Snooping, GMRP, PIM-SM, PIM-DM, DVMRP; 
RIPv1/v2, OSPFv2, BGPv4;
VLAN, GVRP, PVLAN; 
Telnet, SNMPv1/v2/v3, RMON, LLDP, BootP, DHCP Option 82, DHCP server/relay/client; 
SNTP, RTC;
SSH, SSL, TACACS+, RADIUS, ACL; 
ARP, Modbus TCP, QoS, LACP
PRP, HSR 
Пропускная способность устройства 
41.7 Mpps (SICOM3028GPT-L3G), 
9.5 Mpps (SICOM3028GPT-L3G) 
Питание
Напряжение питания: 220VAC/DC (85-264VAC/77-370VDC) 
Механические характеристики
Размеры
482.6 x 44 x 360 мм
Крепление 
19” стойка 
Класс защиты 
IP40 
Рабочая температура 
от -40 до +85С 
Температура хранения 
-40 до +85C 
Влажность 
от 5 до 95% (без конденсата) 
MTBF 
368000 часов 
Гарантия 
5 лет </v>
      </c>
    </row>
    <row r="79" spans="1:34" ht="51.75" hidden="1" customHeight="1" x14ac:dyDescent="0.25">
      <c r="A79" s="2">
        <v>44386</v>
      </c>
      <c r="B79">
        <f>VLOOKUP(C79,Лист1!$B$1:$N$67,2,0)</f>
        <v>8517620003</v>
      </c>
      <c r="C79" t="s">
        <v>134</v>
      </c>
      <c r="D79" s="5" t="str">
        <f>VLOOKUP(C79,Лист1!$B$2:$T$292,14,0)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79">
        <v>1</v>
      </c>
      <c r="F79" s="19">
        <v>574.5</v>
      </c>
      <c r="G79" s="19">
        <f t="shared" si="8"/>
        <v>574.5</v>
      </c>
      <c r="H79" t="str">
        <f>VLOOKUP(C79,Лист1!$B$1:$N$67,4,0)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79" t="s">
        <v>15</v>
      </c>
      <c r="J79" t="s">
        <v>18</v>
      </c>
      <c r="K79">
        <v>156</v>
      </c>
      <c r="L79" t="s">
        <v>10</v>
      </c>
      <c r="M79" t="s">
        <v>19</v>
      </c>
      <c r="N79" t="s">
        <v>13</v>
      </c>
      <c r="O79" t="s">
        <v>82</v>
      </c>
      <c r="P79">
        <v>10052</v>
      </c>
      <c r="Q79" t="str">
        <f>VLOOKUP(C79,Лист1!$B$1:$N$142,5,0)</f>
        <v>RU0000049917</v>
      </c>
      <c r="R79" s="4">
        <f>VLOOKUP(C79,Лист1!$B$1:$N$142,6,0)</f>
        <v>44099</v>
      </c>
      <c r="S79" s="4">
        <f>VLOOKUP(C79,Лист1!$B$1:$N$142,7,0)</f>
        <v>44099</v>
      </c>
      <c r="T79" s="4">
        <f>VLOOKUP(C79,Лист1!$B$1:$N$142,8,0)</f>
        <v>47848</v>
      </c>
      <c r="U79" s="10">
        <f>VLOOKUP(C79,Лист1!$B$1:$N$142,9,0)</f>
        <v>1.5</v>
      </c>
      <c r="V79" s="10">
        <f t="shared" si="7"/>
        <v>1.5</v>
      </c>
      <c r="W79">
        <v>2</v>
      </c>
      <c r="X79" s="1">
        <f>W79+W79*0.175</f>
        <v>2.35</v>
      </c>
      <c r="Y79" s="1" t="s">
        <v>78</v>
      </c>
      <c r="Z79" s="3" t="s">
        <v>48</v>
      </c>
      <c r="AA79" s="2" t="str">
        <f>VLOOKUP(C79,Лист1!$B$1:$N$92,10,0)</f>
        <v>ЕАЭС N RU Д-CN.РА01.В.32748/21</v>
      </c>
      <c r="AB79" s="2">
        <f>VLOOKUP(C79,Лист1!$B$1:$N$92,11,0)</f>
        <v>44309</v>
      </c>
      <c r="AC79" s="2">
        <f>VLOOKUP(C79,Лист1!$B$1:$N$92,12,0)</f>
        <v>44309</v>
      </c>
      <c r="AD79" s="2">
        <f>VLOOKUP(C79,Лист1!$B$1:$N$92,13,0)</f>
        <v>46134</v>
      </c>
      <c r="AE79" t="s">
        <v>10</v>
      </c>
      <c r="AF79" t="s">
        <v>175</v>
      </c>
      <c r="AG79" t="s">
        <v>224</v>
      </c>
      <c r="AH79" t="str">
        <f>VLOOKUP(C79,Лист1!$B$3:$P$289,15,0)</f>
        <v xml:space="preserve">SYM3000A-4GX16T-L2-L2   - серия гигабитных управляемых коммутаторов SYM3000A на DIN-рейку, разработанных для систем передачи данных в энергетике, на транспорте, в горнодобывающей промышленности и др. Коммутатор имеет до 12 гигабитных SFP разъемов и до 16 гигабитных RJ45 портов. Прочный корпус без вентилятора с гофрированной поверхностью, способность работать в широком температурном диапазоне позволяет оборудованию стабильно работать в экстремальных промышленных условиях. В данном устройстве реализована поддержка протокола синхронизации точного времени IEEE1588 PTPv2 с точностью синхронизации 100нс.
Характеристики
Порты
10/100Base-TX Ethernet RJ45
16 шт.
100/1000Base-X Ethernet SFP
4 шт.
Системная производительность
Стандарты: 
IEEE802.3i, IEEE802.3u, IEEE802.3ab, IEEE802.3z, IEEE 802.3ad, IEEE 802.1d, IEEE 802.1w, IEEE802.3x, IEEE802.1p, IEEE802.1Q, IEEE802.1s, IEEE 802.1x, IEEE 802.1ab, IEEE1588 V2 
Протоколы 
DT-Ring, DT-Ring+, DT-VLAN, DRP, MSTP; 
IGMP Snooping, GMRP; 
VLAN, GVRP, PVLAN;
Telnet, HTTP, HTTPS, SNMPv1/v2/v3, RMON, LLDP, SNTP, BootP, DHCP server/relay/client, DHCP Option 82; SSH, SSL, TACACS+, ACL; 
Syslog, FTP, TFTP; 
LACP, ARP, QoS, Modbus TCP 
Пропускная способность устройства 
5.3 Mpps 
Питание
Напряжение питания 
Двойной вход питания 24 Вольт постоянного тока (18-72VDC)
До 10 Вт
Механические характеристики
Размеры
102х135х137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v>
      </c>
    </row>
    <row r="80" spans="1:34" ht="33.75" hidden="1" customHeight="1" x14ac:dyDescent="0.25">
      <c r="A80" s="2">
        <v>44386</v>
      </c>
      <c r="B80">
        <f>VLOOKUP(C80,Лист1!$B$1:$N$67,2,0)</f>
        <v>8517620003</v>
      </c>
      <c r="C80" t="s">
        <v>91</v>
      </c>
      <c r="D80" s="5" t="str">
        <f>VLOOKUP(C80,Лист1!$B$2:$T$292,14,0)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80">
        <v>18</v>
      </c>
      <c r="F80" s="19">
        <v>499.5</v>
      </c>
      <c r="G80" s="19">
        <f t="shared" si="8"/>
        <v>8991</v>
      </c>
      <c r="H80" t="str">
        <f>VLOOKUP(C80,Лист1!$B$1:$N$67,4,0)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80" t="s">
        <v>15</v>
      </c>
      <c r="J80" t="s">
        <v>18</v>
      </c>
      <c r="K80">
        <v>156</v>
      </c>
      <c r="L80" t="s">
        <v>10</v>
      </c>
      <c r="M80" t="s">
        <v>19</v>
      </c>
      <c r="N80" t="s">
        <v>13</v>
      </c>
      <c r="O80" t="s">
        <v>82</v>
      </c>
      <c r="P80">
        <v>10052</v>
      </c>
      <c r="Q80" t="str">
        <f>VLOOKUP(C80,Лист1!$B$1:$N$142,5,0)</f>
        <v>RU0000049917</v>
      </c>
      <c r="R80" s="4">
        <f>VLOOKUP(C80,Лист1!$B$1:$N$142,6,0)</f>
        <v>44099</v>
      </c>
      <c r="S80" s="4">
        <f>VLOOKUP(C80,Лист1!$B$1:$N$142,7,0)</f>
        <v>44099</v>
      </c>
      <c r="T80" s="4">
        <f>VLOOKUP(C80,Лист1!$B$1:$N$142,8,0)</f>
        <v>47848</v>
      </c>
      <c r="U80" s="10">
        <f>VLOOKUP(C80,Лист1!$B$1:$N$142,9,0)</f>
        <v>1.9</v>
      </c>
      <c r="V80" s="10">
        <f t="shared" si="7"/>
        <v>34.199999999999996</v>
      </c>
      <c r="W80">
        <v>34.200000000000003</v>
      </c>
      <c r="X80" s="1">
        <v>40.86</v>
      </c>
      <c r="Y80" s="1" t="s">
        <v>78</v>
      </c>
      <c r="Z80" s="3" t="s">
        <v>48</v>
      </c>
      <c r="AA80" s="2" t="str">
        <f>VLOOKUP(C80,Лист1!$B$1:$N$92,10,0)</f>
        <v>ЕАЭС N RU Д-CN.РА01.В.65848/21</v>
      </c>
      <c r="AB80" s="2">
        <f>VLOOKUP(C80,Лист1!$B$1:$N$92,11,0)</f>
        <v>44330</v>
      </c>
      <c r="AC80" s="2">
        <f>VLOOKUP(C80,Лист1!$B$1:$N$92,12,0)</f>
        <v>44330</v>
      </c>
      <c r="AD80" s="2">
        <f>VLOOKUP(C80,Лист1!$B$1:$N$92,13,0)</f>
        <v>46154</v>
      </c>
      <c r="AE80" t="s">
        <v>10</v>
      </c>
      <c r="AF80" t="s">
        <v>175</v>
      </c>
      <c r="AG80" t="s">
        <v>224</v>
      </c>
      <c r="AH80" t="str">
        <f>VLOOKUP(C80,Лист1!$B$3:$P$289,15,0)</f>
        <v xml:space="preserve">SYM3000A-4SFP16T-L2-L2 - серия гигабитных управляемых коммутаторов SYM3000A на DIN-рейку, разработанных для систем передачи данных в энергетике, на транспорте, в горнодобывающей промышленности и др. Коммутатор имеет до 12 гигабитных SFP разъемов и до 16 гигабитных RJ45 портов. Прочный корпус без вентилятора с гофрированной поверхностью, способность работать в широком температурном диапазоне позволяет оборудованию стабильно работать в экстремальных промышленных условиях. В данном устройстве реализована поддержка протокола синхронизации точного времени IEEE1588 PTPv2 с точностью синхронизации 100нс.
Характеристики
Порты
10/100Base-TX Ethernet RJ45
16 шт.
100Base-X Ethernet SFP
4 шт.
Системная производительность
Стандарты: 
IEEE802.3i, IEEE802.3u, IEEE802.3ab, IEEE802.3z, IEEE 802.3ad, IEEE 802.1d, IEEE 802.1w, IEEE802.3x, IEEE802.1p, IEEE802.1Q, IEEE802.1s, IEEE 802.1x, IEEE 802.1ab, IEEE1588 V2 
Протоколы 
DT-Ring, DT-Ring+, DT-VLAN, DRP, MSTP; 
IGMP Snooping, GMRP; 
VLAN, GVRP, PVLAN;
Telnet, HTTP, HTTPS, SNMPv1/v2/v3, RMON, LLDP, SNTP, BootP, DHCP server/relay/client, DHCP Option 82; SSH, SSL, TACACS+, ACL; 
Syslog, FTP, TFTP; 
LACP, ARP, QoS, Modbus TCP 
Пропускная способность устройства 
5.3 Mpps 
Питание
Напряжение питания 
Двойной вход питания 24 Вольт постоянного тока (18-72VDC)
До 10 Вт
Механические характеристики
Размеры
102х135х137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v>
      </c>
    </row>
    <row r="81" spans="1:34" ht="27.75" hidden="1" customHeight="1" x14ac:dyDescent="0.25">
      <c r="A81" s="2">
        <v>44386</v>
      </c>
      <c r="B81">
        <f>VLOOKUP(C81,Лист1!$B$1:$N$67,2,0)</f>
        <v>8517620003</v>
      </c>
      <c r="C81" t="s">
        <v>155</v>
      </c>
      <c r="D81" s="5" t="str">
        <f>VLOOKUP(C81,Лист1!$B$2:$T$292,14,0)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81">
        <v>9</v>
      </c>
      <c r="F81" s="19">
        <v>499.5</v>
      </c>
      <c r="G81" s="19">
        <f t="shared" si="8"/>
        <v>4495.5</v>
      </c>
      <c r="H81" t="str">
        <f>VLOOKUP(C81,Лист1!$B$1:$N$67,4,0)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81" t="s">
        <v>15</v>
      </c>
      <c r="J81" t="s">
        <v>18</v>
      </c>
      <c r="K81">
        <v>156</v>
      </c>
      <c r="L81" t="s">
        <v>10</v>
      </c>
      <c r="M81" t="s">
        <v>19</v>
      </c>
      <c r="N81" t="s">
        <v>13</v>
      </c>
      <c r="O81" t="s">
        <v>82</v>
      </c>
      <c r="P81">
        <v>10052</v>
      </c>
      <c r="Q81" t="str">
        <f>VLOOKUP(C81,Лист1!$B$1:$N$142,5,0)</f>
        <v>RU0000049917</v>
      </c>
      <c r="R81" s="4">
        <f>VLOOKUP(C81,Лист1!$B$1:$N$142,6,0)</f>
        <v>44099</v>
      </c>
      <c r="S81" s="4">
        <f>VLOOKUP(C81,Лист1!$B$1:$N$142,7,0)</f>
        <v>44099</v>
      </c>
      <c r="T81" s="4">
        <f>VLOOKUP(C81,Лист1!$B$1:$N$142,8,0)</f>
        <v>47848</v>
      </c>
      <c r="U81" s="10">
        <f>VLOOKUP(C81,Лист1!$B$1:$N$142,9,0)</f>
        <v>1.1000000000000001</v>
      </c>
      <c r="V81" s="10">
        <f t="shared" si="7"/>
        <v>9.9</v>
      </c>
      <c r="W81">
        <v>17.100000000000001</v>
      </c>
      <c r="X81" s="1">
        <f t="shared" ref="X81:X82" si="10">W81+W81*0.175</f>
        <v>20.092500000000001</v>
      </c>
      <c r="Y81" s="1" t="s">
        <v>78</v>
      </c>
      <c r="Z81" s="3" t="s">
        <v>48</v>
      </c>
      <c r="AA81" s="2" t="str">
        <f>VLOOKUP(C81,Лист1!$B$1:$N$92,10,0)</f>
        <v>ЕАЭС N RU Д-CN.РА01.В.65848/21</v>
      </c>
      <c r="AB81" s="2">
        <f>VLOOKUP(C81,Лист1!$B$1:$N$92,11,0)</f>
        <v>44330</v>
      </c>
      <c r="AC81" s="2">
        <f>VLOOKUP(C81,Лист1!$B$1:$N$92,12,0)</f>
        <v>44330</v>
      </c>
      <c r="AD81" s="2">
        <f>VLOOKUP(C81,Лист1!$B$1:$N$92,13,0)</f>
        <v>46154</v>
      </c>
      <c r="AE81" t="s">
        <v>10</v>
      </c>
      <c r="AF81" t="s">
        <v>175</v>
      </c>
      <c r="AG81" t="s">
        <v>224</v>
      </c>
      <c r="AH81" t="str">
        <f>VLOOKUP(C81,Лист1!$B$3:$P$289,15,0)</f>
        <v xml:space="preserve">SYM3000A-8SFP8T-L2-L2 - SYM3000A - серия гигабитных управляемых коммутаторов на DIN-рейку, разработанных для систем передачи данных в энергетике, на транспорте, в горнодобывающей промышленности и др. Коммутатор имеет до 12 гигабитных SFP разъемов и до 16 гигабитных RJ45 портов. Прочный корпус без вентилятора с гофрированной поверхностью, способность работать в широком температурном диапазоне позволяет оборудованию стабильно работать в экстремальных промышленных условиях. В данном устройстве реализована поддержка протокола синхронизации точного времени IEEE1588 PTPv2 с точностью синхронизации 100нс.
Характеристики
Порты
10/100Base-TX Ethernet RJ45
8 шт.
Системная производительность
Стандарты: 
IEEE802.3i, IEEE802.3u, IEEE802.3ab, IEEE802.3z, IEEE 802.3ad, IEEE 802.1d, IEEE 802.1w, IEEE802.3x, IEEE802.1p, IEEE802.1Q, IEEE802.1s, IEEE 802.1x, IEEE 802.1ab, IEEE1588 V2 
Протоколы 
DT-Ring, DT-Ring+, DT-VLAN, DRP, MSTP; 
IGMP Snooping, GMRP; 
VLAN, GVRP, PVLAN;
Telnet, HTTP, HTTPS, SNMPv1/v2/v3, RMON, LLDP, SNTP, BootP, DHCP server/relay/client, DHCP Option 82; SSH, SSL, TACACS+, ACL; 
Syslog, FTP, TFTP; 
LACP, ARP, QoS, Modbus TCP 
Пропускная способность устройства 
5.3 Mpps 
Питание
Напряжение питания 
Вход питания 220 Вольт постоянного тока и 220 переменного тока (85-264VAC/77-300VDC)
До 10 Вт
Механические характеристики
Размеры
66×135×107.5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v>
      </c>
    </row>
    <row r="82" spans="1:34" ht="58.5" hidden="1" customHeight="1" x14ac:dyDescent="0.25">
      <c r="A82" s="2">
        <v>44386</v>
      </c>
      <c r="B82">
        <f>VLOOKUP(C82,Лист1!$B$1:$N$67,2,0)</f>
        <v>8517620003</v>
      </c>
      <c r="C82" t="s">
        <v>89</v>
      </c>
      <c r="D82" s="5" t="str">
        <f>VLOOKUP(C82,Лист1!$B$2:$T$292,14,0)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82">
        <v>3</v>
      </c>
      <c r="F82" s="19">
        <v>229.5</v>
      </c>
      <c r="G82" s="19">
        <f t="shared" si="8"/>
        <v>688.5</v>
      </c>
      <c r="H82" t="str">
        <f>VLOOKUP(C82,Лист1!$B$1:$N$67,4,0)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82" t="s">
        <v>15</v>
      </c>
      <c r="J82" t="s">
        <v>18</v>
      </c>
      <c r="K82">
        <v>156</v>
      </c>
      <c r="L82" t="s">
        <v>10</v>
      </c>
      <c r="M82" t="s">
        <v>19</v>
      </c>
      <c r="N82" t="s">
        <v>13</v>
      </c>
      <c r="O82" t="s">
        <v>82</v>
      </c>
      <c r="P82">
        <v>10052</v>
      </c>
      <c r="Q82" t="str">
        <f>VLOOKUP(C82,Лист1!$B$1:$N$142,5,0)</f>
        <v>RU0000049917</v>
      </c>
      <c r="R82" s="4">
        <f>VLOOKUP(C82,Лист1!$B$1:$N$142,6,0)</f>
        <v>44099</v>
      </c>
      <c r="S82" s="4">
        <f>VLOOKUP(C82,Лист1!$B$1:$N$142,7,0)</f>
        <v>44099</v>
      </c>
      <c r="T82" s="4">
        <f>VLOOKUP(C82,Лист1!$B$1:$N$142,8,0)</f>
        <v>47848</v>
      </c>
      <c r="U82" s="10">
        <f>VLOOKUP(C82,Лист1!$B$1:$N$142,9,0)</f>
        <v>1.1000000000000001</v>
      </c>
      <c r="V82" s="10">
        <f t="shared" si="7"/>
        <v>3.3000000000000003</v>
      </c>
      <c r="W82">
        <v>5.7</v>
      </c>
      <c r="X82" s="1">
        <f t="shared" si="10"/>
        <v>6.6974999999999998</v>
      </c>
      <c r="Y82" s="1" t="s">
        <v>78</v>
      </c>
      <c r="Z82" s="3" t="s">
        <v>48</v>
      </c>
      <c r="AA82" s="2" t="str">
        <f>VLOOKUP(C82,Лист1!$B$1:$N$92,10,0)</f>
        <v>ЕАЭС N RU Д-CN.РА01.В.65848/21</v>
      </c>
      <c r="AB82" s="2">
        <f>VLOOKUP(C82,Лист1!$B$1:$N$92,11,0)</f>
        <v>44330</v>
      </c>
      <c r="AC82" s="2">
        <f>VLOOKUP(C82,Лист1!$B$1:$N$92,12,0)</f>
        <v>44330</v>
      </c>
      <c r="AD82" s="2">
        <f>VLOOKUP(C82,Лист1!$B$1:$N$92,13,0)</f>
        <v>46154</v>
      </c>
      <c r="AE82" t="s">
        <v>10</v>
      </c>
      <c r="AF82" t="s">
        <v>175</v>
      </c>
      <c r="AG82" t="s">
        <v>224</v>
      </c>
      <c r="AH82" t="str">
        <f>VLOOKUP(C82,Лист1!$B$3:$P$289,15,0)</f>
        <v xml:space="preserve">SYM3000A - серия гигабитных управляемых коммутаторов на DIN-рейку, разработанных для систем передачи данных в энергетике, на транспорте, в горнодобывающей промышленности и др. Коммутатор имеет до 12 гигабитных SFP разъемов и до 16 гигабитных RJ45 портов. Прочный корпус без вентилятора с гофрированной поверхностью, способность работать в широком температурном диапазоне позволяет оборудованию стабильно работать в экстремальных промышленных условиях. В данном устройстве реализована поддержка протокола синхронизации точного времени IEEE1588 PTPv2 с точностью синхронизации 100нс.
Характеристики
Порты
10/100Base-TX Ethernet RJ45
8 шт.
Системная производительность
Стандарты: 
IEEE802.3i, IEEE802.3u, IEEE802.3ab, IEEE802.3z, IEEE 802.3ad, IEEE 802.1d, IEEE 802.1w, IEEE802.3x, IEEE802.1p, IEEE802.1Q, IEEE802.1s, IEEE 802.1x, IEEE 802.1ab, IEEE1588 V2 
Протоколы 
DT-Ring, DT-Ring+, DT-VLAN, DRP, MSTP; 
IGMP Snooping, GMRP; 
VLAN, GVRP, PVLAN;
Telnet, HTTP, HTTPS, SNMPv1/v2/v3, RMON, LLDP, SNTP, BootP, DHCP server/relay/client, DHCP Option 82; SSH, SSL, TACACS+, ACL; 
Syslog, FTP, TFTP; 
LACP, ARP, QoS, Modbus TCP 
Пропускная способность устройства 
5.3 Mpps 
Питание
Напряжение питания 
Двойной вход питания 24 Вольт постоянного тока (18-72VDC)
До 10 Вт
Механические характеристики
Размеры
66×135×107.5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v>
      </c>
    </row>
    <row r="83" spans="1:34" ht="33.75" hidden="1" customHeight="1" x14ac:dyDescent="0.25">
      <c r="A83" s="2">
        <v>44390</v>
      </c>
      <c r="B83">
        <f>VLOOKUP(C83,Лист1!$B$1:$N$67,2,0)</f>
        <v>8517620002</v>
      </c>
      <c r="C83" t="s">
        <v>49</v>
      </c>
      <c r="D83" s="5" t="str">
        <f>VLOOKUP(C83,Лист1!$B$2:$T$292,14,0)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83">
        <v>6</v>
      </c>
      <c r="F83" s="19">
        <v>1289.33</v>
      </c>
      <c r="G83" s="19">
        <f t="shared" si="8"/>
        <v>7735.98</v>
      </c>
      <c r="H83" t="str">
        <f>VLOOKUP(C83,Лист1!$B$1:$N$67,4,0)</f>
        <v xml:space="preserve">SICOM3028GPT-L2F-MB-HV-HV-S - промышленные коммутаторы с широким спектром сфер применния и модульным дизайном для простоты масштабирования и расширения функционала устройства. 
Характеристики
Протоколы 
DT-Ring, DT-Ring+, MSTP, DRP; IGMP Snooping, GMRP;
VLAN, GVRP, PVLAN;
Telnet, HTTP, HTTPS, SNMPv1/v2/v3, RMON, LLDP, Bootp, DHCP server/relay/client, DHCP Option 82;
SNTP, PTP, RTC;
SSH, SSL, TACACS+, RADIUS, ACL; 
ARP, Modbus TCP, QoS, LACP
PRP, HSR 
Длина волны 
1310нм (одномод), 1550нм (одномод), 1310 (многомод) 
Расстояние передачи 
10~80км (одномод) , до 5 км (100M многомод) , до 2 км (1000M многомод) 
Тип коннектора 
SC, ST, FC 
Питание
Напряжение питания 
Резервированное: 220VAC/VDC (77-300VDC/85-264VAC) 
Потребляемая мощность 
менее 28 Вт (при установке только медных модулей)
менее 42 Вт (при установке только оптических модулей) 
Механические характеристики
Размеры
482.6мм x 44мм x 360мм
Крепление 
19” стойка 
Класс защиты 
IP40 
Рабочая температура 
от -40 до +85С 
Температура хранения 
-40 до +85C 
Влажность 
от 5 до 95% (без конденсата) 
MTBF 
359000 часов 
Гарантия 
5 лет </v>
      </c>
      <c r="I83" t="s">
        <v>15</v>
      </c>
      <c r="J83" t="s">
        <v>18</v>
      </c>
      <c r="K83">
        <v>156</v>
      </c>
      <c r="L83" t="s">
        <v>10</v>
      </c>
      <c r="M83" t="s">
        <v>19</v>
      </c>
      <c r="N83" t="s">
        <v>13</v>
      </c>
      <c r="O83" t="s">
        <v>82</v>
      </c>
      <c r="P83">
        <v>10052</v>
      </c>
      <c r="Q83" t="str">
        <f>VLOOKUP(C83,Лист1!$B$1:$N$142,5,0)</f>
        <v>RU0000053245</v>
      </c>
      <c r="R83" s="4">
        <f>VLOOKUP(C83,Лист1!$B$1:$N$142,6,0)</f>
        <v>44383</v>
      </c>
      <c r="S83" s="4">
        <f>VLOOKUP(C83,Лист1!$B$1:$N$142,7,0)</f>
        <v>44383</v>
      </c>
      <c r="T83" s="4">
        <f>VLOOKUP(C83,Лист1!$B$1:$N$142,8,0)</f>
        <v>48213</v>
      </c>
      <c r="U83" s="10">
        <f>VLOOKUP(C83,Лист1!$B$1:$N$142,9,0)</f>
        <v>10</v>
      </c>
      <c r="V83" s="10">
        <f t="shared" si="7"/>
        <v>60</v>
      </c>
      <c r="W83">
        <v>55</v>
      </c>
      <c r="X83" s="1">
        <v>58</v>
      </c>
      <c r="Y83" s="1" t="s">
        <v>78</v>
      </c>
      <c r="Z83" s="3" t="s">
        <v>48</v>
      </c>
      <c r="AA83" s="2" t="str">
        <f>VLOOKUP(C83,Лист1!$B$1:$N$92,10,0)</f>
        <v>ЕАЭС N RU Д-CN.КА01.В.23216/20</v>
      </c>
      <c r="AB83" s="2">
        <f>VLOOKUP(C83,Лист1!$B$1:$N$92,11,0)</f>
        <v>43908</v>
      </c>
      <c r="AC83" s="2">
        <f>VLOOKUP(C83,Лист1!$B$1:$N$92,12,0)</f>
        <v>43908</v>
      </c>
      <c r="AD83" s="2">
        <f>VLOOKUP(C83,Лист1!$B$1:$N$92,13,0)</f>
        <v>45733</v>
      </c>
      <c r="AE83" t="s">
        <v>10</v>
      </c>
      <c r="AF83" t="s">
        <v>165</v>
      </c>
      <c r="AG83" t="s">
        <v>224</v>
      </c>
      <c r="AH83" t="str">
        <f>VLOOKUP(C83,Лист1!$B$3:$P$289,15,0)</f>
        <v xml:space="preserve">SICOM3028GPT-L2F-MB-HV-HV-S - промышленные коммутаторы с широким спектром сфер применния и модульным дизайном для простоты масштабирования и расширения функционала устройства. 
Характеристики
Порты
Медные или оптические порты 100 Мбит/с 
до 24 
Медные или оптические гигабитные порты 
до 4 
Системная производительность
Стандарты: 
IEEE802.3i, IEEE802.3u, IEEE802.3ab, IEEE802.3ac, IEEE802.3ad, IEEE802.3z, IEEE802.3x, IEEE802.1p, IEEE802.1Q, IEEE802.1s, IEEE802.1X, IEC62439-6, 
IEC 61850-8-1 GOOSE сообщения 
Протоколы 
DT-Ring, DT-Ring+, MSTP, DRP; IGMP Snooping, GMRP;
VLAN, GVRP, PVLAN;
Telnet, HTTP, HTTPS, SNMPv1/v2/v3, RMON, LLDP, Bootp, DHCP server/relay/client, DHCP Option 82;
SNTP, PTP, RTC;
SSH, SSL, TACACS+, RADIUS, ACL; 
ARP, Modbus TCP, QoS, LACP
PRP, HSR 
Пропускная способность устройства 
9.5 Mpps 
Параметры оптических портов
Длина волны 
1310нм (одномод), 1550нм (одномод), 1310 (многомод) 
Расстояние передачи 
10~80км (одномод) , до 5 км (100M многомод) , до 2 км (1000M многомод) 
Тип коннектора 
SC, ST, FC 
Питание
Напряжение питания 
Резервированное: 220VAC/VDC (77-300VDC/85-264VAC) 
Потребляемая мощность 
менее 28 Вт (при установке только медных модулей)
менее 42 Вт (при установке только оптических модулей) 
Механические характеристики
Размеры
482.6мм x 44мм x 360мм
Крепление 
19” стойка 
Класс защиты 
IP40 
Рабочая температура 
от -40 до +85С 
Температура хранения 
-40 до +85C 
Влажность 
от 5 до 95% (без конденсата) 
MTBF 
359000 часов 
Гарантия 
5 лет </v>
      </c>
    </row>
    <row r="84" spans="1:34" ht="35.25" hidden="1" customHeight="1" x14ac:dyDescent="0.25">
      <c r="A84" s="2">
        <v>44390</v>
      </c>
      <c r="B84">
        <f>VLOOKUP(C84,Лист1!$B$1:$N$67,2,0)</f>
        <v>8517620003</v>
      </c>
      <c r="C84" t="s">
        <v>161</v>
      </c>
      <c r="D84" s="5" t="str">
        <f>VLOOKUP(C84,Лист1!$B$2:$T$292,14,0)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84">
        <v>13</v>
      </c>
      <c r="F84" s="19">
        <v>1250</v>
      </c>
      <c r="G84" s="19">
        <f t="shared" si="8"/>
        <v>16250</v>
      </c>
      <c r="H84" t="str">
        <f>VLOOKUP(C84,Лист1!$B$1:$N$67,4,0)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84" t="s">
        <v>15</v>
      </c>
      <c r="J84" t="s">
        <v>18</v>
      </c>
      <c r="K84">
        <v>156</v>
      </c>
      <c r="L84" t="s">
        <v>10</v>
      </c>
      <c r="M84" t="s">
        <v>19</v>
      </c>
      <c r="N84" t="s">
        <v>13</v>
      </c>
      <c r="O84" t="s">
        <v>82</v>
      </c>
      <c r="P84">
        <v>10052</v>
      </c>
      <c r="Q84" t="str">
        <f>VLOOKUP(C84,Лист1!$B$1:$N$142,5,0)</f>
        <v>RU0000053245</v>
      </c>
      <c r="R84" s="4">
        <f>VLOOKUP(C84,Лист1!$B$1:$N$142,6,0)</f>
        <v>44383</v>
      </c>
      <c r="S84" s="4">
        <f>VLOOKUP(C84,Лист1!$B$1:$N$142,7,0)</f>
        <v>44383</v>
      </c>
      <c r="T84" s="4">
        <f>VLOOKUP(C84,Лист1!$B$1:$N$142,8,0)</f>
        <v>48213</v>
      </c>
      <c r="U84" s="10">
        <f>VLOOKUP(C84,Лист1!$B$1:$N$142,9,0)</f>
        <v>10</v>
      </c>
      <c r="V84" s="10">
        <f t="shared" si="7"/>
        <v>130</v>
      </c>
      <c r="W84">
        <v>115</v>
      </c>
      <c r="X84" s="1">
        <v>122</v>
      </c>
      <c r="Y84" s="1" t="s">
        <v>78</v>
      </c>
      <c r="Z84" s="3" t="s">
        <v>48</v>
      </c>
      <c r="AA84" s="2" t="str">
        <f>VLOOKUP(C84,Лист1!$B$1:$N$92,10,0)</f>
        <v>ЕАЭС N RU Д-CN.РА01.В.65848/21</v>
      </c>
      <c r="AB84" s="2">
        <f>VLOOKUP(C84,Лист1!$B$1:$N$92,11,0)</f>
        <v>44330</v>
      </c>
      <c r="AC84" s="2">
        <f>VLOOKUP(C84,Лист1!$B$1:$N$92,12,0)</f>
        <v>44330</v>
      </c>
      <c r="AD84" s="2">
        <f>VLOOKUP(C84,Лист1!$B$1:$N$92,13,0)</f>
        <v>46154</v>
      </c>
      <c r="AE84" t="s">
        <v>10</v>
      </c>
      <c r="AF84" t="s">
        <v>165</v>
      </c>
      <c r="AG84" t="s">
        <v>224</v>
      </c>
      <c r="AH84" t="str">
        <f>VLOOKUP(C84,Лист1!$B$3:$P$289,15,0)</f>
        <v xml:space="preserve">SICOM3028GPT-L2F-MB-L3-L3-S - промышленные коммутаторы с широким спектром сфер применния и модульным дизайном для простоты масштабирования и расширения функционала устройства. 
Характеристики
Порты
Медные или оптические порты 100 Мбит/с 
до 24 
Медные или оптические гигабитные порты 
до 4 
Системная производительность
Стандарты: 
IEEE802.3i, IEEE802.3u, IEEE802.3ab, IEEE802.3ac, IEEE802.3ad, IEEE802.3z, IEEE802.3x, IEEE802.1p, IEEE802.1Q, IEEE802.1s, IEEE802.1X, IEC62439-6, 
IEC 61850-8-1 GOOSE сообщения 
Протоколы 
DT-Ring, DT-Ring+, MSTP, DRP; IGMP Snooping, GMRP;
VLAN, GVRP, PVLAN;
Telnet, HTTP, HTTPS, SNMPv1/v2/v3, RMON, LLDP, Bootp, DHCP server/relay/client, DHCP Option 82;
SNTP, PTP, RTC;
SSH, SSL, TACACS+, RADIUS, ACL;
ARP, Modbus TCP, QoS, LACP
PRP, HSR 
Пропускная способность устройства 
9.5 Mpps 
Параметры оптических портов
Длина волны 
1310нм (одномод), 1550нм (одномод), 1310 (многомод) 
Расстояние передачи 
10~80км (одномод) , до 5 км (100M многомод) , до 2 км (1000M многомод) 
Тип коннектора 
SC, ST, FC 
Питание
Напряжение питания 
Резервированное: от 18 до36 Вольт постоянного тока
Потребляемая мощность 
До 48 Ватт
Механические характеристики
Размеры
482.6мм x 44мм x 360мм
Крепление 
19” стойка 
Класс защиты 
IP40 
Рабочая температура 
от -40 до +85С 
Температура хранения 
-40 до +85C 
Влажность 
от 5 до 95% (без конденсата) 
MTBF 
359000 часов 
Гарантия 
5 лет 
</v>
      </c>
    </row>
    <row r="85" spans="1:34" ht="21" hidden="1" customHeight="1" x14ac:dyDescent="0.25">
      <c r="A85" s="2">
        <v>44418</v>
      </c>
      <c r="B85">
        <f>VLOOKUP(C85,Лист1!$B$1:$N$67,2,0)</f>
        <v>8517620003</v>
      </c>
      <c r="C85" t="s">
        <v>25</v>
      </c>
      <c r="D85" s="5" t="str">
        <f>VLOOKUP(C85,Лист1!$B$2:$T$292,14,0)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85">
        <v>6</v>
      </c>
      <c r="F85" s="19">
        <v>2160</v>
      </c>
      <c r="G85" s="19">
        <f t="shared" si="8"/>
        <v>12960</v>
      </c>
      <c r="H85" t="str">
        <f>VLOOKUP(C85,Лист1!$B$1:$N$67,4,0)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85" t="s">
        <v>15</v>
      </c>
      <c r="J85" t="s">
        <v>18</v>
      </c>
      <c r="K85">
        <v>156</v>
      </c>
      <c r="L85" t="s">
        <v>10</v>
      </c>
      <c r="M85" t="s">
        <v>19</v>
      </c>
      <c r="N85" t="s">
        <v>13</v>
      </c>
      <c r="O85" t="s">
        <v>82</v>
      </c>
      <c r="P85">
        <v>10052</v>
      </c>
      <c r="Q85" t="str">
        <f>VLOOKUP(C85,Лист1!$B$1:$N$142,5,0)</f>
        <v>RU0000053245</v>
      </c>
      <c r="R85" s="4">
        <f>VLOOKUP(C85,Лист1!$B$1:$N$142,6,0)</f>
        <v>44383</v>
      </c>
      <c r="S85" s="4">
        <f>VLOOKUP(C85,Лист1!$B$1:$N$142,7,0)</f>
        <v>44383</v>
      </c>
      <c r="T85" s="4">
        <f>VLOOKUP(C85,Лист1!$B$1:$N$142,8,0)</f>
        <v>48213</v>
      </c>
      <c r="U85" s="10">
        <f>VLOOKUP(C85,Лист1!$B$1:$N$142,9,0)</f>
        <v>10</v>
      </c>
      <c r="V85" s="10">
        <f t="shared" si="7"/>
        <v>60</v>
      </c>
      <c r="W85">
        <v>48</v>
      </c>
      <c r="X85" s="1">
        <v>59</v>
      </c>
      <c r="Y85" s="1" t="s">
        <v>78</v>
      </c>
      <c r="Z85" s="3" t="s">
        <v>48</v>
      </c>
      <c r="AA85" s="2" t="str">
        <f>VLOOKUP(C85,Лист1!$B$1:$N$92,10,0)</f>
        <v>ЕАЭС N RU Д-CN.КА01.В.23216/20</v>
      </c>
      <c r="AB85" s="2">
        <f>VLOOKUP(C85,Лист1!$B$1:$N$92,11,0)</f>
        <v>43908</v>
      </c>
      <c r="AC85" s="2">
        <f>VLOOKUP(C85,Лист1!$B$1:$N$92,12,0)</f>
        <v>43908</v>
      </c>
      <c r="AD85" s="2">
        <f>VLOOKUP(C85,Лист1!$B$1:$N$92,13,0)</f>
        <v>45733</v>
      </c>
      <c r="AE85" t="s">
        <v>10</v>
      </c>
      <c r="AF85" t="s">
        <v>167</v>
      </c>
      <c r="AG85" t="s">
        <v>224</v>
      </c>
      <c r="AH85" t="str">
        <f>VLOOKUP(C85,Лист1!$B$3:$P$289,15,0)</f>
        <v xml:space="preserve">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Характеристики
Порты
Оптические или медные порты 100 Мбит/с 
до 24 
Оптические или медные гигабитные порты 
до 28 (SICOM3028GPT-L3G) 
до 4 (SICOM3028GPT-L3G) 
Системная производительность
Стандарты: 
IEEE 802.3i, IEEE 802.3u, IEEE 802.3ab, IEEE802.3ac, IEEE 802.3ad, IEEE 802.3z, IEEE 802.3x, IEEE 802.1p, IEEE 802.1Q, IEEE 802.1s, IEEE802.1X, IEC62439-6,
IEC 61850-8-1 GOOSE сообщения 
Протоколы 
DT-Ring, DT-Ring+, MSTP, DRP, VRRP; IGMP, IGMP Snooping, GMRP, PIM-SM, PIM-DM, DVMRP; 
RIPv1/v2, OSPFv2, BGPv4;
VLAN, GVRP, PVLAN; 
Telnet, SNMPv1/v2/v3, RMON, LLDP, BootP, DHCP Option 82, DHCP server/relay/client; 
SNTP, RTC;
SSH, SSL, TACACS+, RADIUS, ACL; 
ARP, Modbus TCP, QoS, LACP
PRP, HSR 
Пропускная способность устройства 
41.7 Mpps (SICOM3028GPT-L3G), 
9.5 Mpps (SICOM3028GPT-L3G) 
Питание
Напряжение питания: 220VAC/DC (85-264VAC/77-370VDC) 
Механические характеристики
Размеры
482.6 x 44 x 360 мм
Крепление 
19” стойка 
Класс защиты 
IP40 
Рабочая температура 
от -40 до +85С 
Температура хранения 
-40 до +85C 
Влажность 
от 5 до 95% (без конденсата) 
MTBF 
368000 часов 
Гарантия 
5 лет </v>
      </c>
    </row>
    <row r="86" spans="1:34" ht="23.25" hidden="1" customHeight="1" x14ac:dyDescent="0.25">
      <c r="A86" s="2">
        <v>44420</v>
      </c>
      <c r="B86">
        <f>VLOOKUP(C86,Лист1!$B$1:$N$67,2,0)</f>
        <v>8517620003</v>
      </c>
      <c r="C86" t="s">
        <v>168</v>
      </c>
      <c r="D86" s="5" t="str">
        <f>VLOOKUP(C86,Лист1!$B$2:$T$292,14,0)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86">
        <v>9</v>
      </c>
      <c r="F86" s="19">
        <v>479</v>
      </c>
      <c r="G86" s="19">
        <f t="shared" si="8"/>
        <v>4311</v>
      </c>
      <c r="H86" t="str">
        <f>VLOOKUP(C86,Лист1!$B$1:$N$67,4,0)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86" t="s">
        <v>15</v>
      </c>
      <c r="J86" t="s">
        <v>18</v>
      </c>
      <c r="K86">
        <v>156</v>
      </c>
      <c r="L86" t="s">
        <v>10</v>
      </c>
      <c r="M86" t="s">
        <v>19</v>
      </c>
      <c r="N86" t="s">
        <v>13</v>
      </c>
      <c r="O86" t="s">
        <v>82</v>
      </c>
      <c r="P86">
        <v>10052</v>
      </c>
      <c r="Q86" t="str">
        <f>VLOOKUP(C86,Лист1!$B$1:$N$142,5,0)</f>
        <v>RU0000053245</v>
      </c>
      <c r="R86" s="4">
        <f>VLOOKUP(C86,Лист1!$B$1:$N$142,6,0)</f>
        <v>44383</v>
      </c>
      <c r="S86" s="4">
        <f>VLOOKUP(C86,Лист1!$B$1:$N$142,7,0)</f>
        <v>44383</v>
      </c>
      <c r="T86" s="4">
        <f>VLOOKUP(C86,Лист1!$B$1:$N$142,8,0)</f>
        <v>48213</v>
      </c>
      <c r="U86" s="10">
        <f>VLOOKUP(C86,Лист1!$B$1:$N$142,9,0)</f>
        <v>1.35</v>
      </c>
      <c r="V86" s="10">
        <f t="shared" si="7"/>
        <v>12.15</v>
      </c>
      <c r="W86">
        <v>13.5</v>
      </c>
      <c r="X86" s="1">
        <v>16.7</v>
      </c>
      <c r="Y86" s="1" t="s">
        <v>78</v>
      </c>
      <c r="Z86" s="3" t="s">
        <v>48</v>
      </c>
      <c r="AA86" s="2" t="str">
        <f>VLOOKUP(C86,Лист1!$B$1:$N$92,10,0)</f>
        <v>ЕАЭС N RU Д-CN.РА01.В.54040/21</v>
      </c>
      <c r="AB86" s="2">
        <f>VLOOKUP(C86,Лист1!$B$1:$N$92,11,0)</f>
        <v>44375</v>
      </c>
      <c r="AC86" s="2">
        <f>VLOOKUP(C86,Лист1!$B$1:$N$92,12,0)</f>
        <v>44375</v>
      </c>
      <c r="AD86" s="2">
        <f>VLOOKUP(C86,Лист1!$B$1:$N$92,13,0)</f>
        <v>46196</v>
      </c>
      <c r="AE86" t="s">
        <v>10</v>
      </c>
      <c r="AF86" t="s">
        <v>174</v>
      </c>
      <c r="AG86" t="s">
        <v>224</v>
      </c>
      <c r="AH86" t="str">
        <f>VLOOKUP(C86,Лист1!$B$3:$P$289,15,0)</f>
        <v>SYM3000S - промышленные коммутаторы с пониженным потреблением питания, которые могут применяться в ветроэнергетике, распределительных сетях, подстанциях, энергетических SCADA-системах, системах водоочистки, на автомагистралях, в металлургии и других сферах.
Коммутаторы могут крепиться на DIN-рейку или панель. Устройства соответствуют IEC61850-3, IEEE1613, EN50155, EN50121-4, NEMA TS-2. Диапазон рабочих температур коммутаторов SYM3000S от -40° до +85°. Оптические порты коммутатора способны передавать данные на расстояния до 80 км.
В SFP-порты коммутатора можно установить специальные модули, которые могут поддерживать как оптические соединения (одномод или многомод), так и медные.
Характеристики
Порты
10/100Base-TX RJ45
8
1000Base-X SFP
4
Системная производительность
Стандарты:
IEEE 802.3u, IEEE 802.3ab, IEEE 802.3ad, IEEE 802.3z,IEEE 802.3x, IEEE 802.1D, IEEE 802.1Q, IEEE 802.1w, IEEE 802.1s, IEEE 802.1X, IEEE 802.1AB, IEEE 802.1p, IEEE 802.3i, IEEE 802.1ab, IEEE 802.3af PoE, IEEE 802.3at PoE+, IEEE1588 V2 (PTP)
Протоколы
DT-Ring, DT-Ring+, DT-VLAN, MSTP; 
IGMP Snooping, GMRP;
VLAN, PVLAN; 
Telnet, HTTP, HTTPS, SNMPv1/v2/v3, RMON, LLDP, SNTP, DHCP server; 
DT-Psec, SSH, SSL, ACL;
ARP, QoS
Пропускная способность устройства
4.2 Mpps
Питание
Напряжение питания
51-57 Вольт постоянного тока
Потребляемая мощность
менее 16 Вт
Механические характеристики
Размеры
75 * 168.2 *135.5 мм
Крепление
DIN-рейка или панель
Класс защиты
IP40
Рабочая температура
от -40 до +85С
Температура хранения
-40 до +85C
Влажность
от 5 до 95% (без конденсата)
MTBF
323350 часов
Гарантия
5 лет</v>
      </c>
    </row>
    <row r="87" spans="1:34" ht="25.5" hidden="1" customHeight="1" x14ac:dyDescent="0.25">
      <c r="A87" s="2">
        <v>44420</v>
      </c>
      <c r="B87">
        <f>VLOOKUP(C87,Лист1!$B$1:$N$67,2,0)</f>
        <v>8517620003</v>
      </c>
      <c r="C87" t="s">
        <v>169</v>
      </c>
      <c r="D87" s="5" t="str">
        <f>VLOOKUP(C87,Лист1!$B$2:$T$292,14,0)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87">
        <v>3</v>
      </c>
      <c r="F87" s="19">
        <v>329.5</v>
      </c>
      <c r="G87" s="19">
        <f t="shared" si="8"/>
        <v>988.5</v>
      </c>
      <c r="H87" t="str">
        <f>VLOOKUP(C87,Лист1!$B$1:$N$67,4,0)</f>
        <v xml:space="preserve">SYM3000A-4SFP8T-L2-L2- гигабитные управляемые коммутаторы на DIN-рейку, разработанных для систем передачи данных в энергетике, на транспорте, в горнодобывающей промышленности и др. Коммутатор имеет до 12 гигабитных SFP разъемов и до 16 гигабитных RJ45 портов. Прочный корпус без вентилятора с гофрированной поверхностью, способность работать в широком температурном диапазоне позволяет оборудованию стабильно работать в экстремальных промышленных условиях. В данном устройстве реализована поддержка протокола синхронизации точного времени IEEE1588 PTPv2 с точностью синхронизации 100нс.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Двойной вход питания 24 Вольт постоянного тока (18-72VDC)
До 10 Вт
Механические характеристики
Размеры
66×135×107.5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v>
      </c>
      <c r="I87" t="s">
        <v>15</v>
      </c>
      <c r="J87" t="s">
        <v>18</v>
      </c>
      <c r="K87">
        <v>156</v>
      </c>
      <c r="L87" t="s">
        <v>10</v>
      </c>
      <c r="M87" t="s">
        <v>19</v>
      </c>
      <c r="N87" t="s">
        <v>13</v>
      </c>
      <c r="O87" t="s">
        <v>82</v>
      </c>
      <c r="P87">
        <v>10052</v>
      </c>
      <c r="Q87" t="str">
        <f>VLOOKUP(C87,Лист1!$B$1:$N$142,5,0)</f>
        <v>RU0000049917</v>
      </c>
      <c r="R87" s="4">
        <f>VLOOKUP(C87,Лист1!$B$1:$N$142,6,0)</f>
        <v>44099</v>
      </c>
      <c r="S87" s="4">
        <f>VLOOKUP(C87,Лист1!$B$1:$N$142,7,0)</f>
        <v>44099</v>
      </c>
      <c r="T87" s="4">
        <f>VLOOKUP(C87,Лист1!$B$1:$N$142,8,0)</f>
        <v>47848</v>
      </c>
      <c r="U87" s="10">
        <f>VLOOKUP(C87,Лист1!$B$1:$N$142,9,0)</f>
        <v>1.5</v>
      </c>
      <c r="V87" s="10">
        <f t="shared" si="7"/>
        <v>4.5</v>
      </c>
      <c r="W87">
        <v>4.5</v>
      </c>
      <c r="X87" s="1">
        <f t="shared" ref="X87:X88" si="11">W87+W87*0.24</f>
        <v>5.58</v>
      </c>
      <c r="Y87" s="1" t="s">
        <v>78</v>
      </c>
      <c r="Z87" s="3" t="s">
        <v>48</v>
      </c>
      <c r="AA87" s="2" t="str">
        <f>VLOOKUP(C87,Лист1!$B$1:$N$92,10,0)</f>
        <v>ЕАЭС N RU Д-CN.РА01.В.65848/21</v>
      </c>
      <c r="AB87" s="2">
        <f>VLOOKUP(C87,Лист1!$B$1:$N$92,11,0)</f>
        <v>44330</v>
      </c>
      <c r="AC87" s="2">
        <f>VLOOKUP(C87,Лист1!$B$1:$N$92,12,0)</f>
        <v>44330</v>
      </c>
      <c r="AD87" s="2">
        <f>VLOOKUP(C87,Лист1!$B$1:$N$92,13,0)</f>
        <v>46154</v>
      </c>
      <c r="AE87" t="s">
        <v>10</v>
      </c>
      <c r="AF87" t="s">
        <v>174</v>
      </c>
      <c r="AG87" t="s">
        <v>224</v>
      </c>
      <c r="AH87" t="str">
        <f>VLOOKUP(C87,Лист1!$B$3:$P$289,15,0)</f>
        <v xml:space="preserve">SYM3000A - серия гигабитных управляемых коммутаторов на DIN-рейку, разработанных для систем передачи данных в энергетике, на транспорте, в горнодобывающей промышленности и др. Коммутатор имеет до 12 гигабитных SFP разъемов и до 16 гигабитных RJ45 портов. Прочный корпус без вентилятора с гофрированной поверхностью, способность работать в широком температурном диапазоне позволяет оборудованию стабильно работать в экстремальных промышленных условиях. В данном устройстве реализована поддержка протокола синхронизации точного времени IEEE1588 PTPv2 с точностью синхронизации 100нс.
Характеристики
Порты
10/100Base-TX Ethernet RJ45
8 шт.
100Base-X Ethernet SFP
4 шт.
Системная производительность
Стандарты: 
IEEE802.3i, IEEE802.3u, IEEE802.3ab, IEEE802.3z, IEEE 802.3ad, IEEE 802.1d, IEEE 802.1w, IEEE802.3x, IEEE802.1p, IEEE802.1Q, IEEE802.1s, IEEE 802.1x, IEEE 802.1ab, IEEE1588 V2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Двойной вход питания 24 Вольт постоянного тока (18-72VDC)
До 10 Вт
Механические характеристики
Размеры
66*135*107.5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v>
      </c>
    </row>
    <row r="88" spans="1:34" ht="30" hidden="1" customHeight="1" x14ac:dyDescent="0.25">
      <c r="A88" s="2">
        <v>44420</v>
      </c>
      <c r="B88">
        <f>VLOOKUP(C88,Лист1!$B$1:$N$67,2,0)</f>
        <v>8517620003</v>
      </c>
      <c r="C88" t="s">
        <v>138</v>
      </c>
      <c r="D88" s="5" t="str">
        <f>VLOOKUP(C88,Лист1!$B$2:$T$292,14,0)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88">
        <v>2</v>
      </c>
      <c r="F88" s="19">
        <v>649.5</v>
      </c>
      <c r="G88" s="19">
        <f t="shared" si="8"/>
        <v>1299</v>
      </c>
      <c r="H88" t="str">
        <f>VLOOKUP(C88,Лист1!$B$1:$N$67,4,0)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88" t="s">
        <v>15</v>
      </c>
      <c r="J88" t="s">
        <v>18</v>
      </c>
      <c r="K88">
        <v>156</v>
      </c>
      <c r="L88" t="s">
        <v>10</v>
      </c>
      <c r="M88" t="s">
        <v>19</v>
      </c>
      <c r="N88" t="s">
        <v>13</v>
      </c>
      <c r="O88" t="s">
        <v>82</v>
      </c>
      <c r="P88">
        <v>10052</v>
      </c>
      <c r="Q88" t="str">
        <f>VLOOKUP(C88,Лист1!$B$1:$N$142,5,0)</f>
        <v>RU0000049917</v>
      </c>
      <c r="R88" s="4">
        <f>VLOOKUP(C88,Лист1!$B$1:$N$142,6,0)</f>
        <v>44099</v>
      </c>
      <c r="S88" s="4">
        <f>VLOOKUP(C88,Лист1!$B$1:$N$142,7,0)</f>
        <v>44099</v>
      </c>
      <c r="T88" s="4">
        <f>VLOOKUP(C88,Лист1!$B$1:$N$142,8,0)</f>
        <v>47848</v>
      </c>
      <c r="U88" s="10">
        <f>VLOOKUP(C88,Лист1!$B$1:$N$142,9,0)</f>
        <v>1.5</v>
      </c>
      <c r="V88" s="10">
        <f t="shared" si="7"/>
        <v>3</v>
      </c>
      <c r="W88">
        <v>3</v>
      </c>
      <c r="X88" s="1">
        <f t="shared" si="11"/>
        <v>3.7199999999999998</v>
      </c>
      <c r="Y88" s="1" t="s">
        <v>78</v>
      </c>
      <c r="Z88" s="3" t="s">
        <v>48</v>
      </c>
      <c r="AA88" s="2" t="str">
        <f>VLOOKUP(C88,Лист1!$B$1:$N$92,10,0)</f>
        <v>ЕАЭС N RU Д-CN.РА01.В.65848/21</v>
      </c>
      <c r="AB88" s="2">
        <f>VLOOKUP(C88,Лист1!$B$1:$N$92,11,0)</f>
        <v>44330</v>
      </c>
      <c r="AC88" s="2">
        <f>VLOOKUP(C88,Лист1!$B$1:$N$92,12,0)</f>
        <v>44330</v>
      </c>
      <c r="AD88" s="2">
        <f>VLOOKUP(C88,Лист1!$B$1:$N$92,13,0)</f>
        <v>46154</v>
      </c>
      <c r="AE88" t="s">
        <v>10</v>
      </c>
      <c r="AF88" t="s">
        <v>174</v>
      </c>
      <c r="AG88" t="s">
        <v>224</v>
      </c>
      <c r="AH88" t="str">
        <f>VLOOKUP(C88,Лист1!$B$3:$P$289,15,0)</f>
        <v xml:space="preserve">Описание
SYM3000A - серия гигабитных управляемых коммутаторов на DIN-рейку, разработанных для систем передачи данных в энергетике, на транспорте, в горнодобывающей промышленности и др. Коммутатор имеет до 12 гигабитных SFP разъемов и до 16 гигабитных RJ45 портов. Прочный корпус без вентилятора с гофрированной поверхностью, способность работать в широком температурном диапазоне позволяет оборудованию стабильно работать в экстремальных промышленных условиях. В данном устройстве реализована поддержка протокола синхронизации точного времени IEEE1588 PTPv2 с точностью синхронизации 100нс.
Характеристики
Порты
10/100/1000Base-TX Ethernet RJ45
8 шт.
100/1000Base-X Ethernet SFP
8 шт.
Системная производительность
Стандарты: 
IEEE802.3i, IEEE802.3u, IEEE802.3ab, IEEE802.3z, IEEE 802.3ad, IEEE 802.1d, IEEE 802.1w, IEEE802.3x, IEEE802.1p, IEEE802.1Q, IEEE802.1s, IEEE 802.1x, IEEE 802.1ab, IEEE1588 V2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Двойной вход питания 24 Вольт постоянного тока (18-72VDC)
До 10 Вт
Механические характеристики
Размеры
102х135х137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v>
      </c>
    </row>
    <row r="89" spans="1:34" ht="40.5" hidden="1" customHeight="1" x14ac:dyDescent="0.25">
      <c r="A89" s="2">
        <v>44478</v>
      </c>
      <c r="B89">
        <f>VLOOKUP(C89,Лист1!$B$1:$N$67,2,0)</f>
        <v>8517620003</v>
      </c>
      <c r="C89" s="5" t="s">
        <v>161</v>
      </c>
      <c r="D89" s="5" t="str">
        <f>VLOOKUP(C89,Лист1!$B$2:$T$292,14,0)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89">
        <v>5</v>
      </c>
      <c r="F89" s="19">
        <v>1250</v>
      </c>
      <c r="G89" s="19">
        <f t="shared" si="8"/>
        <v>6250</v>
      </c>
      <c r="H89" t="str">
        <f>VLOOKUP(C89,Лист1!$B$1:$N$67,4,0)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89" t="s">
        <v>15</v>
      </c>
      <c r="J89" t="s">
        <v>18</v>
      </c>
      <c r="K89">
        <v>156</v>
      </c>
      <c r="L89" t="s">
        <v>10</v>
      </c>
      <c r="M89" t="s">
        <v>19</v>
      </c>
      <c r="N89" t="s">
        <v>13</v>
      </c>
      <c r="O89" t="s">
        <v>82</v>
      </c>
      <c r="P89">
        <v>10052</v>
      </c>
      <c r="Q89" t="str">
        <f>VLOOKUP(C89,Лист1!$B$1:$N$142,5,0)</f>
        <v>RU0000053245</v>
      </c>
      <c r="R89" s="4">
        <f>VLOOKUP(C89,Лист1!$B$1:$N$142,6,0)</f>
        <v>44383</v>
      </c>
      <c r="S89" s="4">
        <f>VLOOKUP(C89,Лист1!$B$1:$N$142,7,0)</f>
        <v>44383</v>
      </c>
      <c r="T89" s="4">
        <f>VLOOKUP(C89,Лист1!$B$1:$N$142,8,0)</f>
        <v>48213</v>
      </c>
      <c r="U89" s="10">
        <f>VLOOKUP(C89,Лист1!$B$1:$N$142,9,0)</f>
        <v>10</v>
      </c>
      <c r="V89" s="10">
        <f t="shared" si="7"/>
        <v>50</v>
      </c>
      <c r="W89">
        <v>50</v>
      </c>
      <c r="X89" s="1">
        <f t="shared" ref="X89:X98" si="12">W89+W89*0.125</f>
        <v>56.25</v>
      </c>
      <c r="Y89" s="1" t="s">
        <v>78</v>
      </c>
      <c r="Z89" s="3" t="s">
        <v>48</v>
      </c>
      <c r="AB89" s="2">
        <f>VLOOKUP(C89,Лист1!$B$1:$N$92,11,0)</f>
        <v>44330</v>
      </c>
      <c r="AC89" s="2">
        <f>VLOOKUP(C89,Лист1!$B$1:$N$92,12,0)</f>
        <v>44330</v>
      </c>
      <c r="AD89" s="2">
        <f>VLOOKUP(C89,Лист1!$B$1:$N$92,13,0)</f>
        <v>46154</v>
      </c>
      <c r="AE89" t="s">
        <v>10</v>
      </c>
      <c r="AF89" t="s">
        <v>181</v>
      </c>
      <c r="AG89" t="s">
        <v>224</v>
      </c>
      <c r="AH89" t="str">
        <f>VLOOKUP(C89,Лист1!$B$3:$P$289,15,0)</f>
        <v xml:space="preserve">SICOM3028GPT-L2F-MB-L3-L3-S - промышленные коммутаторы с широким спектром сфер применния и модульным дизайном для простоты масштабирования и расширения функционала устройства. 
Характеристики
Порты
Медные или оптические порты 100 Мбит/с 
до 24 
Медные или оптические гигабитные порты 
до 4 
Системная производительность
Стандарты: 
IEEE802.3i, IEEE802.3u, IEEE802.3ab, IEEE802.3ac, IEEE802.3ad, IEEE802.3z, IEEE802.3x, IEEE802.1p, IEEE802.1Q, IEEE802.1s, IEEE802.1X, IEC62439-6, 
IEC 61850-8-1 GOOSE сообщения 
Протоколы 
DT-Ring, DT-Ring+, MSTP, DRP; IGMP Snooping, GMRP;
VLAN, GVRP, PVLAN;
Telnet, HTTP, HTTPS, SNMPv1/v2/v3, RMON, LLDP, Bootp, DHCP server/relay/client, DHCP Option 82;
SNTP, PTP, RTC;
SSH, SSL, TACACS+, RADIUS, ACL;
ARP, Modbus TCP, QoS, LACP
PRP, HSR 
Пропускная способность устройства 
9.5 Mpps 
Параметры оптических портов
Длина волны 
1310нм (одномод), 1550нм (одномод), 1310 (многомод) 
Расстояние передачи 
10~80км (одномод) , до 5 км (100M многомод) , до 2 км (1000M многомод) 
Тип коннектора 
SC, ST, FC 
Питание
Напряжение питания 
Резервированное: от 18 до36 Вольт постоянного тока
Потребляемая мощность 
До 48 Ватт
Механические характеристики
Размеры
482.6мм x 44мм x 360мм
Крепление 
19” стойка 
Класс защиты 
IP40 
Рабочая температура 
от -40 до +85С 
Температура хранения 
-40 до +85C 
Влажность 
от 5 до 95% (без конденсата) 
MTBF 
359000 часов 
Гарантия 
5 лет 
</v>
      </c>
    </row>
    <row r="90" spans="1:34" ht="150" hidden="1" x14ac:dyDescent="0.25">
      <c r="A90" s="2">
        <v>44489</v>
      </c>
      <c r="B90">
        <f>VLOOKUP(C90,Лист1!$B$1:$N$67,2,0)</f>
        <v>8517620003</v>
      </c>
      <c r="C90" t="s">
        <v>176</v>
      </c>
      <c r="D90" s="5" t="str">
        <f>VLOOKUP(C90,Лист1!$B$2:$T$292,14,0)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консольным кабелем.</v>
      </c>
      <c r="E90">
        <v>10</v>
      </c>
      <c r="F90" s="19">
        <v>1326.7</v>
      </c>
      <c r="G90" s="19">
        <f t="shared" si="8"/>
        <v>13267</v>
      </c>
      <c r="H90" t="str">
        <f>VLOOKUP(C90,Лист1!$B$1:$N$67,4,0)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90" t="s">
        <v>15</v>
      </c>
      <c r="J90" t="s">
        <v>18</v>
      </c>
      <c r="K90">
        <v>156</v>
      </c>
      <c r="L90" t="s">
        <v>10</v>
      </c>
      <c r="M90" t="s">
        <v>19</v>
      </c>
      <c r="N90" t="s">
        <v>13</v>
      </c>
      <c r="O90" t="s">
        <v>82</v>
      </c>
      <c r="P90">
        <v>10052</v>
      </c>
      <c r="Q90" s="14" t="s">
        <v>178</v>
      </c>
      <c r="R90" s="4">
        <v>44431</v>
      </c>
      <c r="S90" s="4">
        <v>44431</v>
      </c>
      <c r="T90" s="4">
        <v>48213</v>
      </c>
      <c r="U90" s="10">
        <f>VLOOKUP(C90,Лист1!$B$1:$N$142,9,0)</f>
        <v>3</v>
      </c>
      <c r="V90" s="10">
        <f t="shared" si="7"/>
        <v>30</v>
      </c>
      <c r="W90" s="10">
        <v>30</v>
      </c>
      <c r="X90" s="1">
        <v>39.5</v>
      </c>
      <c r="Y90" s="1" t="s">
        <v>78</v>
      </c>
      <c r="Z90" s="3" t="s">
        <v>182</v>
      </c>
      <c r="AA90" s="2" t="str">
        <f>VLOOKUP(C90,Лист1!$B$1:$N$92,10,0)</f>
        <v>ЕАЭС N RU Д-CN.РА01.В.95186/21</v>
      </c>
      <c r="AB90" s="2">
        <f>VLOOKUP(C90,Лист1!$B$1:$N$92,11,0)</f>
        <v>44435</v>
      </c>
      <c r="AC90" s="2">
        <f>VLOOKUP(C90,Лист1!$B$1:$N$92,12,0)</f>
        <v>44435</v>
      </c>
      <c r="AD90" s="2">
        <f>VLOOKUP(C90,Лист1!$B$1:$N$92,13,0)</f>
        <v>46253</v>
      </c>
      <c r="AE90" t="s">
        <v>10</v>
      </c>
      <c r="AF90" t="s">
        <v>180</v>
      </c>
      <c r="AG90" t="s">
        <v>224</v>
      </c>
      <c r="AH90" t="str">
        <f>VLOOKUP(C90,Лист1!$B$3:$P$289,15,0)</f>
        <v xml:space="preserve">SYM6416G – серия десяти-гигабитных управляемых коммутаторов на DIN-рейку, разработанных для систем передачи данных в энергетике, на транспорте, в горнодобывающей промышленности и др. Коммутатор имеет SFP порты 10Г . Прочный корпус без вентилятора с гофрированной поверхностью, способность работать в широком температурном диапазоне позволяет оборудованию стабильно работать в экстремальных промышленных условиях. В данном устройстве реализована поддержка протокола синхронизации точного времени IEEE1588 PTPv2 с точностью синхронизации 100нс. Коммутаторы могут крепиться на DIN-рейку или панель. Диапазон рабочих температур коммутаторов SYM6416G от -40° до +75°.
Характеристики
Порты
10G Base-X SFP	4
10/100/1000Base-TX	4
 100/1000Base-X SFP	8
Системная производительность
Стандарты	IEEE802.3i IEEE802.3u IEEE802.3ab IEEE802.3z IEEE 802.3ae IEEE 802.3ad IEEE802.3x IEEE802.1p IEEE802.1q IEEE 802.1w IEEE802.1s IEEE 802.1x IEEE1588
Функции 2 уровня	STP/RSTP
Поддержка до 4094 VLAN
VLAN на базе портов и 802.1Q
VLAN на основе MAC-адресов
управление VLAN, Private VLAN
динамическое назначение VLAN с использованием RADIUS- сервера
Поддержка QoS очередей на порт 8
DHCP
IGMP для фильтрации трафика групповой рассылки (до 4К групп)
Блокирование «Head-of-Line» (HOL)
Функции 3 уровня	Маршрутизация IPv4
Статическая маршрутизация
RIP v2 для динамической маршрутизации
Поддержка VRRPv2/v3
Private VLAN (PVLAN)
Управление маршрутизацией на основе ACL IPv4 или IPv6
 Протоклоы резервирования	IEEE 802.1d Spanning Tree Protocol (STP)
IEEE 802.1w Rapid Spanning Tree Protocol (RSTP)
Питание
Напряжение питания	18-36 Вольт постоянного тока
Потребляемая мощность	До 35 Ватт
Механические характеристики
Класс защиты	IP40
Крепление	DIN-рейка или панель
Размеры (Ш х Г х В)	120мм×154мм×154мм
 Рабочая температура	от -40 до +75С
Температура хранения	-40 до +85C
Влажность	от 5 до 95% (без конденсата)
MTBF	223350 часов
Гарантия	5 лет </v>
      </c>
    </row>
    <row r="91" spans="1:34" ht="165" hidden="1" x14ac:dyDescent="0.25">
      <c r="A91" s="2">
        <v>44489</v>
      </c>
      <c r="B91">
        <f>VLOOKUP(C91,Лист1!$B$1:$N$67,2,0)</f>
        <v>8517620003</v>
      </c>
      <c r="C91" t="s">
        <v>91</v>
      </c>
      <c r="D91" s="5" t="str">
        <f>VLOOKUP(C91,Лист1!$B$2:$T$292,14,0)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91">
        <v>1</v>
      </c>
      <c r="F91" s="19">
        <v>499.5</v>
      </c>
      <c r="G91" s="19">
        <f t="shared" si="8"/>
        <v>499.5</v>
      </c>
      <c r="H91" t="str">
        <f>VLOOKUP(C91,Лист1!$B$1:$N$67,4,0)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91" t="s">
        <v>15</v>
      </c>
      <c r="J91" t="s">
        <v>18</v>
      </c>
      <c r="K91">
        <v>156</v>
      </c>
      <c r="L91" t="s">
        <v>10</v>
      </c>
      <c r="M91" t="s">
        <v>19</v>
      </c>
      <c r="N91" t="s">
        <v>13</v>
      </c>
      <c r="O91" t="s">
        <v>82</v>
      </c>
      <c r="P91">
        <v>10052</v>
      </c>
      <c r="Q91" t="str">
        <f>VLOOKUP(C91,Лист1!$B$1:$N$142,5,0)</f>
        <v>RU0000049917</v>
      </c>
      <c r="R91" s="4">
        <f>VLOOKUP(C91,Лист1!$B$1:$N$142,6,0)</f>
        <v>44099</v>
      </c>
      <c r="S91" s="4">
        <f>VLOOKUP(C91,Лист1!$B$1:$N$142,7,0)</f>
        <v>44099</v>
      </c>
      <c r="T91" s="4">
        <f>VLOOKUP(C91,Лист1!$B$1:$N$142,8,0)</f>
        <v>47848</v>
      </c>
      <c r="U91" s="10">
        <f>VLOOKUP(C91,Лист1!$B$1:$N$142,9,0)</f>
        <v>1.9</v>
      </c>
      <c r="V91" s="10">
        <f t="shared" si="7"/>
        <v>1.9</v>
      </c>
      <c r="W91" s="26">
        <v>1.5</v>
      </c>
      <c r="X91" s="1">
        <v>2.5</v>
      </c>
      <c r="Y91" s="1" t="s">
        <v>78</v>
      </c>
      <c r="Z91" s="3" t="s">
        <v>182</v>
      </c>
      <c r="AA91" s="2" t="str">
        <f>VLOOKUP(C91,Лист1!$B$1:$N$92,10,0)</f>
        <v>ЕАЭС N RU Д-CN.РА01.В.65848/21</v>
      </c>
      <c r="AB91" s="2">
        <f>VLOOKUP(C91,Лист1!$B$1:$N$92,11,0)</f>
        <v>44330</v>
      </c>
      <c r="AC91" s="2">
        <f>VLOOKUP(C91,Лист1!$B$1:$N$92,12,0)</f>
        <v>44330</v>
      </c>
      <c r="AD91" s="2">
        <f>VLOOKUP(C91,Лист1!$B$1:$N$92,13,0)</f>
        <v>46154</v>
      </c>
      <c r="AE91" t="s">
        <v>10</v>
      </c>
      <c r="AF91" t="s">
        <v>180</v>
      </c>
      <c r="AG91" t="s">
        <v>224</v>
      </c>
      <c r="AH91" t="str">
        <f>VLOOKUP(C91,Лист1!$B$3:$P$289,15,0)</f>
        <v xml:space="preserve">SYM3000A-4SFP16T-L2-L2 - серия гигабитных управляемых коммутаторов SYM3000A на DIN-рейку, разработанных для систем передачи данных в энергетике, на транспорте, в горнодобывающей промышленности и др. Коммутатор имеет до 12 гигабитных SFP разъемов и до 16 гигабитных RJ45 портов. Прочный корпус без вентилятора с гофрированной поверхностью, способность работать в широком температурном диапазоне позволяет оборудованию стабильно работать в экстремальных промышленных условиях. В данном устройстве реализована поддержка протокола синхронизации точного времени IEEE1588 PTPv2 с точностью синхронизации 100нс.
Характеристики
Порты
10/100Base-TX Ethernet RJ45
16 шт.
100Base-X Ethernet SFP
4 шт.
Системная производительность
Стандарты: 
IEEE802.3i, IEEE802.3u, IEEE802.3ab, IEEE802.3z, IEEE 802.3ad, IEEE 802.1d, IEEE 802.1w, IEEE802.3x, IEEE802.1p, IEEE802.1Q, IEEE802.1s, IEEE 802.1x, IEEE 802.1ab, IEEE1588 V2 
Протоколы 
DT-Ring, DT-Ring+, DT-VLAN, DRP, MSTP; 
IGMP Snooping, GMRP; 
VLAN, GVRP, PVLAN;
Telnet, HTTP, HTTPS, SNMPv1/v2/v3, RMON, LLDP, SNTP, BootP, DHCP server/relay/client, DHCP Option 82; SSH, SSL, TACACS+, ACL; 
Syslog, FTP, TFTP; 
LACP, ARP, QoS, Modbus TCP 
Пропускная способность устройства 
5.3 Mpps 
Питание
Напряжение питания 
Двойной вход питания 24 Вольт постоянного тока (18-72VDC)
До 10 Вт
Механические характеристики
Размеры
102х135х137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v>
      </c>
    </row>
    <row r="92" spans="1:34" ht="96" hidden="1" customHeight="1" x14ac:dyDescent="0.25">
      <c r="A92" s="2">
        <v>44522</v>
      </c>
      <c r="B92">
        <f>VLOOKUP(C92,Лист1!$B$1:$N$67,2,0)</f>
        <v>8517620003</v>
      </c>
      <c r="C92" t="s">
        <v>183</v>
      </c>
      <c r="D92" s="5" t="str">
        <f>VLOOKUP(C92,Лист1!$B$2:$T$292,14,0)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92">
        <v>6</v>
      </c>
      <c r="F92" s="19">
        <v>424.5</v>
      </c>
      <c r="G92" s="19">
        <f t="shared" si="8"/>
        <v>2547</v>
      </c>
      <c r="H92" t="str">
        <f>VLOOKUP(C92,Лист1!$B$1:$N$67,4,0)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92" t="s">
        <v>15</v>
      </c>
      <c r="J92" t="s">
        <v>18</v>
      </c>
      <c r="K92">
        <v>156</v>
      </c>
      <c r="L92" t="s">
        <v>10</v>
      </c>
      <c r="M92" t="s">
        <v>19</v>
      </c>
      <c r="N92" t="s">
        <v>13</v>
      </c>
      <c r="O92" t="s">
        <v>82</v>
      </c>
      <c r="P92">
        <v>10052</v>
      </c>
      <c r="Q92" t="str">
        <f>VLOOKUP(C92,Лист1!$B$1:$N$142,5,0)</f>
        <v>RU0000049917</v>
      </c>
      <c r="R92" s="4">
        <f>VLOOKUP(C92,Лист1!$B$1:$N$142,6,0)</f>
        <v>44099</v>
      </c>
      <c r="S92" s="4">
        <f>VLOOKUP(C92,Лист1!$B$1:$N$142,7,0)</f>
        <v>44099</v>
      </c>
      <c r="T92" s="4">
        <f>VLOOKUP(C92,Лист1!$B$1:$N$142,8,0)</f>
        <v>47848</v>
      </c>
      <c r="U92" s="10">
        <f>VLOOKUP(C92,Лист1!$B$1:$N$142,9,0)</f>
        <v>1.1000000000000001</v>
      </c>
      <c r="V92" s="10">
        <f t="shared" si="7"/>
        <v>6.6000000000000005</v>
      </c>
      <c r="W92">
        <v>9</v>
      </c>
      <c r="X92" s="1">
        <v>10</v>
      </c>
      <c r="Y92" s="1" t="s">
        <v>78</v>
      </c>
      <c r="Z92" s="3" t="s">
        <v>182</v>
      </c>
      <c r="AA92" s="2" t="str">
        <f>VLOOKUP(C92,Лист1!$B$1:$N$92,10,0)</f>
        <v>ЕАЭС N RU Д-CN.РА01.В.65848/21</v>
      </c>
      <c r="AB92" s="2">
        <f>VLOOKUP(C92,Лист1!$B$1:$N$92,11,0)</f>
        <v>44330</v>
      </c>
      <c r="AC92" s="2">
        <f>VLOOKUP(C92,Лист1!$B$1:$N$92,12,0)</f>
        <v>44330</v>
      </c>
      <c r="AD92" s="2">
        <f>VLOOKUP(C92,Лист1!$B$1:$N$92,13,0)</f>
        <v>46154</v>
      </c>
      <c r="AE92" t="s">
        <v>10</v>
      </c>
      <c r="AF92" t="s">
        <v>185</v>
      </c>
      <c r="AG92" t="s">
        <v>224</v>
      </c>
      <c r="AH92" t="str">
        <f>VLOOKUP(C92,Лист1!$B$3:$P$289,15,0)</f>
        <v xml:space="preserve">SYM3000A - серия гигабитных управляемых коммутаторов на DIN-рейку, разработанных для систем передачи данных в энергетике, на транспорте, в горнодобывающей промышленности и др. Коммутатор имеет до 12 гигабитных SFP разъемов и до 16 гигабитных RJ45 портов. Прочный корпус без вентилятора с гофрированной поверхностью, способность работать в широком температурном диапазоне позволяет оборудованию стабильно работать в экстремальных промышленных условиях. В данном устройстве реализована поддержка протокола синхронизации точного времени IEEE1588 PTPv2 с точностью синхронизации 100нс.
Характеристики
Порты
10/100Base-TX Ethernet RJ45
8 шт.
100/1000Base-X Ethernet SFP
4 шт.
Системная производительность
Стандарты: 
IEEE802.3i, IEEE802.3u, IEEE802.3ab, IEEE802.3z, IEEE 802.3ad, IEEE 802.1d, IEEE 802.1w, IEEE802.3x, IEEE802.1p, IEEE802.1Q, IEEE802.1s, IEEE 802.1x, IEEE 802.1ab, IEEE1588 V2 
Протоколы 
DT-Ring, DT-Ring+, DT-VLAN, DRP, MSTP; 
IGMP Snooping, GMRP; 
VLAN, GVRP, PVLAN;
Telnet, HTTP, HTTPS, SNMPv1/v2/v3, RMON, LLDP, SNTP, BootP, DHCP server/relay/client, DHCP Option 82; SSH, SSL, TACACS+, ACL; 
Syslog, FTP, TFTP; 
LACP, ARP, QoS, Modbus TCP 
Пропускная способность устройства 
5.3 Mpps 
Питание
Напряжение питания 
Двойной вход питания 24 Вольт постоянного тока (18-72VDC)
До 10 Вт
Механические характеристики
Размеры
66×135×107.5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v>
      </c>
    </row>
    <row r="93" spans="1:34" ht="19.5" hidden="1" customHeight="1" x14ac:dyDescent="0.25">
      <c r="A93" s="2" t="s">
        <v>186</v>
      </c>
      <c r="B93">
        <f>VLOOKUP(C93,Лист1!$B$1:$N$67,2,0)</f>
        <v>8517620003</v>
      </c>
      <c r="C93" t="s">
        <v>90</v>
      </c>
      <c r="D93" s="5" t="str">
        <f>VLOOKUP(C93,Лист1!$B$2:$T$292,14,0)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93">
        <v>2</v>
      </c>
      <c r="F93" s="19">
        <v>294.5</v>
      </c>
      <c r="G93" s="19">
        <f>F93*E93</f>
        <v>589</v>
      </c>
      <c r="H93" t="str">
        <f>VLOOKUP(C93,Лист1!$B$1:$N$67,4,0)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93" t="s">
        <v>15</v>
      </c>
      <c r="J93" t="s">
        <v>18</v>
      </c>
      <c r="K93">
        <v>156</v>
      </c>
      <c r="L93" t="s">
        <v>10</v>
      </c>
      <c r="M93" t="s">
        <v>19</v>
      </c>
      <c r="N93" t="s">
        <v>13</v>
      </c>
      <c r="O93" t="s">
        <v>82</v>
      </c>
      <c r="P93">
        <v>10052</v>
      </c>
      <c r="Q93" t="str">
        <f>VLOOKUP(C93,Лист1!$B$1:$N$142,5,0)</f>
        <v>RU0000049917</v>
      </c>
      <c r="R93" s="4">
        <f>VLOOKUP(C93,Лист1!$B$1:$N$142,6,0)</f>
        <v>44099</v>
      </c>
      <c r="S93" s="4">
        <f>VLOOKUP(C93,Лист1!$B$1:$N$142,7,0)</f>
        <v>44099</v>
      </c>
      <c r="T93" s="4">
        <f>VLOOKUP(C93,Лист1!$B$1:$N$142,8,0)</f>
        <v>47848</v>
      </c>
      <c r="U93" s="10">
        <v>1.1000000000000001</v>
      </c>
      <c r="V93" s="10">
        <f t="shared" si="7"/>
        <v>2.2000000000000002</v>
      </c>
      <c r="W93" s="10">
        <v>2.2000000000000002</v>
      </c>
      <c r="X93" s="1">
        <v>2.5</v>
      </c>
      <c r="Y93" s="1" t="s">
        <v>78</v>
      </c>
      <c r="Z93" s="3" t="s">
        <v>182</v>
      </c>
      <c r="AA93" s="2" t="str">
        <f>VLOOKUP(C93,Лист1!$B$1:$N$92,10,0)</f>
        <v>ЕАЭС N RU Д-CN.РА01.В.65848/21</v>
      </c>
      <c r="AB93" s="2">
        <f>VLOOKUP(C93,Лист1!$B$1:$N$92,11,0)</f>
        <v>44330</v>
      </c>
      <c r="AC93" s="2">
        <f>VLOOKUP(C93,Лист1!$B$1:$N$92,12,0)</f>
        <v>44330</v>
      </c>
      <c r="AD93" s="2">
        <f>VLOOKUP(C93,Лист1!$B$1:$N$92,13,0)</f>
        <v>46154</v>
      </c>
      <c r="AE93" t="s">
        <v>10</v>
      </c>
      <c r="AF93" t="s">
        <v>189</v>
      </c>
      <c r="AG93" t="s">
        <v>224</v>
      </c>
      <c r="AH93" t="str">
        <f>VLOOKUP(C93,Лист1!$B$3:$P$289,15,0)</f>
        <v xml:space="preserve">SYM3000A - серия гигабитных управляемых коммутаторов на DIN-рейку, разработанных для систем передачи данных в энергетике, на транспорте, в горнодобывающей промышленности и др. Коммутатор имеет до 12 гигабитных SFP разъемов и до 16 гигабитных RJ45 портов. Прочный корпус без вентилятора с гофрированной поверхностью, способность работать в широком температурном диапазоне позволяет оборудованию стабильно работать в экстремальных промышленных условиях. В данном устройстве реализована поддержка протокола синхронизации точного времени IEEE1588 PTPv2 с точностью синхронизации 100нс.
Характеристики
Порты
10/100Base-TX Ethernet RJ45
8 шт.
100Base-X Ethernet SFP
2 шт.
Системная производительность
Стандарты: 
IEEE802.3i, IEEE802.3u, IEEE802.3ab, IEEE802.3z, IEEE 802.3ad, IEEE 802.1d, IEEE 802.1w, IEEE802.3x, IEEE802.1p, IEEE802.1Q, IEEE802.1s, IEEE 802.1x, IEEE 802.1ab, IEEE1588 V2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Двойной вход питания 24 Вольт постоянного тока (18-72VDC)
До 10 Вт
Механические характеристики
Размеры
66×135×107.5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v>
      </c>
    </row>
    <row r="94" spans="1:34" ht="62.25" hidden="1" customHeight="1" x14ac:dyDescent="0.25">
      <c r="A94" s="2" t="s">
        <v>187</v>
      </c>
      <c r="B94">
        <f>VLOOKUP(C94,Лист1!$B$1:$N$67,2,0)</f>
        <v>8517620003</v>
      </c>
      <c r="C94" t="s">
        <v>90</v>
      </c>
      <c r="D94" s="5" t="str">
        <f>VLOOKUP(C94,Лист1!$B$2:$T$292,14,0)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94">
        <v>2</v>
      </c>
      <c r="F94" s="19">
        <v>130</v>
      </c>
      <c r="G94" s="19">
        <f t="shared" si="8"/>
        <v>260</v>
      </c>
      <c r="H94" t="str">
        <f>VLOOKUP(C94,Лист1!$B$1:$N$67,4,0)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94" t="s">
        <v>15</v>
      </c>
      <c r="J94" t="s">
        <v>18</v>
      </c>
      <c r="K94">
        <v>156</v>
      </c>
      <c r="L94" t="s">
        <v>10</v>
      </c>
      <c r="M94" t="s">
        <v>19</v>
      </c>
      <c r="N94" t="s">
        <v>13</v>
      </c>
      <c r="O94" t="s">
        <v>82</v>
      </c>
      <c r="P94">
        <v>10052</v>
      </c>
      <c r="Q94" t="str">
        <f>VLOOKUP(C94,Лист1!$B$1:$N$142,5,0)</f>
        <v>RU0000049917</v>
      </c>
      <c r="R94" s="4">
        <f>VLOOKUP(C94,Лист1!$B$1:$N$142,6,0)</f>
        <v>44099</v>
      </c>
      <c r="S94" s="4">
        <f>VLOOKUP(C94,Лист1!$B$1:$N$142,7,0)</f>
        <v>44099</v>
      </c>
      <c r="T94" s="4">
        <f>VLOOKUP(C94,Лист1!$B$1:$N$142,8,0)</f>
        <v>47848</v>
      </c>
      <c r="U94" s="10">
        <v>1.1000000000000001</v>
      </c>
      <c r="V94" s="10">
        <f t="shared" si="7"/>
        <v>2.2000000000000002</v>
      </c>
      <c r="W94" s="10">
        <v>2.2000000000000002</v>
      </c>
      <c r="X94" s="1">
        <v>2.5</v>
      </c>
      <c r="Y94" s="1" t="s">
        <v>78</v>
      </c>
      <c r="Z94" s="3" t="s">
        <v>182</v>
      </c>
      <c r="AA94" s="2" t="str">
        <f>VLOOKUP(C94,Лист1!$B$1:$N$92,10,0)</f>
        <v>ЕАЭС N RU Д-CN.РА01.В.65848/21</v>
      </c>
      <c r="AB94" s="2">
        <f>VLOOKUP(C94,Лист1!$B$1:$N$92,11,0)</f>
        <v>44330</v>
      </c>
      <c r="AC94" s="2">
        <f>VLOOKUP(C94,Лист1!$B$1:$N$92,12,0)</f>
        <v>44330</v>
      </c>
      <c r="AD94" s="2">
        <f>VLOOKUP(C94,Лист1!$B$1:$N$92,13,0)</f>
        <v>46154</v>
      </c>
      <c r="AE94" t="s">
        <v>10</v>
      </c>
      <c r="AF94" t="s">
        <v>190</v>
      </c>
      <c r="AG94" t="s">
        <v>224</v>
      </c>
      <c r="AH94" t="str">
        <f>VLOOKUP(C94,Лист1!$B$3:$P$289,15,0)</f>
        <v xml:space="preserve">SYM3000A - серия гигабитных управляемых коммутаторов на DIN-рейку, разработанных для систем передачи данных в энергетике, на транспорте, в горнодобывающей промышленности и др. Коммутатор имеет до 12 гигабитных SFP разъемов и до 16 гигабитных RJ45 портов. Прочный корпус без вентилятора с гофрированной поверхностью, способность работать в широком температурном диапазоне позволяет оборудованию стабильно работать в экстремальных промышленных условиях. В данном устройстве реализована поддержка протокола синхронизации точного времени IEEE1588 PTPv2 с точностью синхронизации 100нс.
Характеристики
Порты
10/100Base-TX Ethernet RJ45
8 шт.
100Base-X Ethernet SFP
2 шт.
Системная производительность
Стандарты: 
IEEE802.3i, IEEE802.3u, IEEE802.3ab, IEEE802.3z, IEEE 802.3ad, IEEE 802.1d, IEEE 802.1w, IEEE802.3x, IEEE802.1p, IEEE802.1Q, IEEE802.1s, IEEE 802.1x, IEEE 802.1ab, IEEE1588 V2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Двойной вход питания 24 Вольт постоянного тока (18-72VDC)
До 10 Вт
Механические характеристики
Размеры
66×135×107.5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v>
      </c>
    </row>
    <row r="95" spans="1:34" ht="75.75" hidden="1" customHeight="1" x14ac:dyDescent="0.25">
      <c r="A95" s="2">
        <v>44574</v>
      </c>
      <c r="B95">
        <f>VLOOKUP(C95,Лист1!$B$1:$N$67,2,0)</f>
        <v>8517620003</v>
      </c>
      <c r="C95" t="s">
        <v>191</v>
      </c>
      <c r="D95" s="5" t="str">
        <f>VLOOKUP(C95,Лист1!$B$2:$T$292,14,0)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95">
        <v>1</v>
      </c>
      <c r="F95" s="19">
        <v>229.5</v>
      </c>
      <c r="G95" s="19">
        <f t="shared" si="8"/>
        <v>229.5</v>
      </c>
      <c r="H95" t="str">
        <f>VLOOKUP(C95,Лист1!$B$1:$N$67,4,0)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95" t="s">
        <v>15</v>
      </c>
      <c r="J95" t="s">
        <v>18</v>
      </c>
      <c r="K95">
        <v>156</v>
      </c>
      <c r="L95" t="s">
        <v>10</v>
      </c>
      <c r="M95" t="s">
        <v>19</v>
      </c>
      <c r="N95" t="s">
        <v>13</v>
      </c>
      <c r="O95" t="s">
        <v>82</v>
      </c>
      <c r="P95">
        <v>10052</v>
      </c>
      <c r="Q95" t="str">
        <f>VLOOKUP(C95,Лист1!$B$1:$N$142,5,0)</f>
        <v>RU0000049917</v>
      </c>
      <c r="R95" s="4">
        <f>VLOOKUP(C95,Лист1!$B$1:$N$142,6,0)</f>
        <v>44099</v>
      </c>
      <c r="S95" s="4">
        <f>VLOOKUP(C95,Лист1!$B$1:$N$142,7,0)</f>
        <v>44099</v>
      </c>
      <c r="T95" s="4">
        <f>VLOOKUP(C95,Лист1!$B$1:$N$142,8,0)</f>
        <v>47848</v>
      </c>
      <c r="U95" s="10">
        <f>VLOOKUP(C95,Лист1!$B$1:$N$142,9,0)</f>
        <v>1.1000000000000001</v>
      </c>
      <c r="V95" s="10">
        <f t="shared" si="7"/>
        <v>1.1000000000000001</v>
      </c>
      <c r="W95">
        <v>1.5</v>
      </c>
      <c r="X95" s="1">
        <f t="shared" si="12"/>
        <v>1.6875</v>
      </c>
      <c r="Y95" s="1" t="s">
        <v>78</v>
      </c>
      <c r="Z95" s="3" t="s">
        <v>182</v>
      </c>
      <c r="AA95" s="2" t="str">
        <f>VLOOKUP(C95,Лист1!$B$1:$N$92,10,0)</f>
        <v>ЕАЭС N RU Д-CN.РА01.В.65848/21</v>
      </c>
      <c r="AB95" s="2">
        <f>VLOOKUP(C95,Лист1!$B$1:$N$92,11,0)</f>
        <v>44330</v>
      </c>
      <c r="AC95" s="2">
        <f>VLOOKUP(C95,Лист1!$B$1:$N$92,12,0)</f>
        <v>44330</v>
      </c>
      <c r="AD95" s="2">
        <f>VLOOKUP(C95,Лист1!$B$1:$N$92,13,0)</f>
        <v>46154</v>
      </c>
      <c r="AE95" t="s">
        <v>10</v>
      </c>
      <c r="AF95" t="s">
        <v>195</v>
      </c>
      <c r="AG95" t="s">
        <v>224</v>
      </c>
      <c r="AH95" t="str">
        <f>VLOOKUP(C95,Лист1!$B$3:$P$289,15,0)</f>
        <v xml:space="preserve">SYM3000A - серия гигабитных управляемых коммутаторов на DIN-рейку, разработанных для систем передачи данных в энергетике, на транспорте, в горнодобывающей промышленности и др. Коммутатор имеет до 12 гигабитных SFP разъемов и до 16 гигабитных RJ45 портов. Прочный корпус без вентилятора с гофрированной поверхностью, способность работать в широком температурном диапазоне позволяет оборудованию стабильно работать в экстремальных промышленных условиях. В данном устройстве реализована поддержка протокола синхронизации точного времени IEEE1588 PTPv2 с точностью синхронизации 100нс.
Характеристики
Порты
10/100Base-TX Ethernet RJ45
8 шт.
Системная производительность
Стандарты: 
IEEE802.3i, IEEE802.3u, IEEE802.3ab, IEEE802.3z, IEEE 802.3ad, IEEE 802.1d, IEEE 802.1w, IEEE802.3x, IEEE802.1p, IEEE802.1Q, IEEE802.1s, IEEE 802.1x, IEEE 802.1ab, IEEE1588 V2 
Протоколы 
DT-Ring, DT-Ring+, DT-VLAN, DRP, MSTP; 
IGMP Snooping, GMRP; 
VLAN, GVRP, PVLAN;
Telnet, HTTP, HTTPS, SNMPv1/v2/v3, RMON, LLDP, SNTP, BootP, DHCP server/relay/client, DHCP Option 82; SSH, SSL, TACACS+, ACL; 
Syslog, FTP, TFTP; 
LACP, ARP, QoS, Modbus TCP 
Пропускная способность устройства 
5.3 Mpps 
Питание
Напряжение питания 
Двойной вход питания 24 Вольт постоянного тока (18-72VDC)
До 10 Вт
Механические характеристики
Размеры
66×135×107.5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v>
      </c>
    </row>
    <row r="96" spans="1:34" hidden="1" x14ac:dyDescent="0.25">
      <c r="A96" s="2">
        <v>44574</v>
      </c>
      <c r="B96" t="e">
        <f>VLOOKUP(C96,Лист1!$B$1:$N$67,2,0)</f>
        <v>#N/A</v>
      </c>
      <c r="C96" t="s">
        <v>192</v>
      </c>
      <c r="D96" s="5" t="e">
        <f>VLOOKUP(C96,Лист1!$B$2:$T$292,14,0)</f>
        <v>#N/A</v>
      </c>
      <c r="E96">
        <v>1</v>
      </c>
      <c r="F96" s="19" t="e">
        <v>#N/A</v>
      </c>
      <c r="G96" s="19" t="e">
        <f t="shared" si="8"/>
        <v>#N/A</v>
      </c>
      <c r="H96" t="e">
        <f>VLOOKUP(C96,Лист1!$B$1:$N$67,4,0)</f>
        <v>#N/A</v>
      </c>
      <c r="I96" t="s">
        <v>15</v>
      </c>
      <c r="J96" t="s">
        <v>18</v>
      </c>
      <c r="K96">
        <v>156</v>
      </c>
      <c r="L96" t="s">
        <v>10</v>
      </c>
      <c r="M96" t="s">
        <v>19</v>
      </c>
      <c r="N96" t="s">
        <v>13</v>
      </c>
      <c r="O96" t="s">
        <v>82</v>
      </c>
      <c r="P96">
        <v>10052</v>
      </c>
      <c r="Q96" t="e">
        <f>VLOOKUP(C96,Лист1!$B$1:$N$142,5,0)</f>
        <v>#N/A</v>
      </c>
      <c r="R96" s="4" t="e">
        <f>VLOOKUP(C96,Лист1!$B$1:$N$142,6,0)</f>
        <v>#N/A</v>
      </c>
      <c r="S96" s="4" t="e">
        <f>VLOOKUP(C96,Лист1!$B$1:$N$142,7,0)</f>
        <v>#N/A</v>
      </c>
      <c r="T96" s="4" t="e">
        <f>VLOOKUP(C96,Лист1!$B$1:$N$142,8,0)</f>
        <v>#N/A</v>
      </c>
      <c r="U96" s="10" t="e">
        <f>VLOOKUP(C96,Лист1!$B$1:$N$142,9,0)</f>
        <v>#N/A</v>
      </c>
      <c r="V96" s="10" t="e">
        <f t="shared" si="7"/>
        <v>#N/A</v>
      </c>
      <c r="W96">
        <v>8.1</v>
      </c>
      <c r="X96" s="1">
        <f t="shared" si="12"/>
        <v>9.1124999999999989</v>
      </c>
      <c r="Y96" s="1" t="s">
        <v>78</v>
      </c>
      <c r="Z96" s="3" t="s">
        <v>182</v>
      </c>
      <c r="AA96" s="2" t="e">
        <f>VLOOKUP(C96,Лист1!$B$1:$N$92,10,0)</f>
        <v>#N/A</v>
      </c>
      <c r="AB96" s="2" t="e">
        <f>VLOOKUP(C96,Лист1!$B$1:$N$92,11,0)</f>
        <v>#N/A</v>
      </c>
      <c r="AC96" s="2" t="e">
        <f>VLOOKUP(C96,Лист1!$B$1:$N$92,12,0)</f>
        <v>#N/A</v>
      </c>
      <c r="AD96" s="2" t="e">
        <f>VLOOKUP(C96,Лист1!$B$1:$N$92,13,0)</f>
        <v>#N/A</v>
      </c>
      <c r="AE96" t="s">
        <v>10</v>
      </c>
      <c r="AF96" t="s">
        <v>195</v>
      </c>
      <c r="AG96" t="s">
        <v>224</v>
      </c>
      <c r="AH96" t="e">
        <f>VLOOKUP(C96,Лист1!$B$3:$P$289,15,0)</f>
        <v>#N/A</v>
      </c>
    </row>
    <row r="97" spans="1:34" ht="165" hidden="1" x14ac:dyDescent="0.25">
      <c r="A97" s="2">
        <v>44574</v>
      </c>
      <c r="B97">
        <f>VLOOKUP(C97,Лист1!$B$1:$N$67,2,0)</f>
        <v>8517620003</v>
      </c>
      <c r="C97" t="s">
        <v>161</v>
      </c>
      <c r="D97" s="5" t="str">
        <f>VLOOKUP(C97,Лист1!$B$2:$T$292,14,0)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97">
        <v>1</v>
      </c>
      <c r="F97" s="19">
        <v>1309</v>
      </c>
      <c r="G97" s="19">
        <f t="shared" si="8"/>
        <v>1309</v>
      </c>
      <c r="H97" t="str">
        <f>VLOOKUP(C97,Лист1!$B$1:$N$67,4,0)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97" t="s">
        <v>15</v>
      </c>
      <c r="J97" t="s">
        <v>18</v>
      </c>
      <c r="K97">
        <v>156</v>
      </c>
      <c r="L97" t="s">
        <v>10</v>
      </c>
      <c r="M97" t="s">
        <v>19</v>
      </c>
      <c r="N97" t="s">
        <v>13</v>
      </c>
      <c r="O97" t="s">
        <v>82</v>
      </c>
      <c r="P97">
        <v>10052</v>
      </c>
      <c r="Q97" t="str">
        <f>VLOOKUP(C97,Лист1!$B$1:$N$142,5,0)</f>
        <v>RU0000053245</v>
      </c>
      <c r="R97" s="4">
        <f>VLOOKUP(C97,Лист1!$B$1:$N$142,6,0)</f>
        <v>44383</v>
      </c>
      <c r="S97" s="4">
        <f>VLOOKUP(C97,Лист1!$B$1:$N$142,7,0)</f>
        <v>44383</v>
      </c>
      <c r="T97" s="4">
        <f>VLOOKUP(C97,Лист1!$B$1:$N$142,8,0)</f>
        <v>48213</v>
      </c>
      <c r="U97" s="10">
        <f>VLOOKUP(C97,Лист1!$B$1:$N$142,9,0)</f>
        <v>10</v>
      </c>
      <c r="V97" s="10">
        <f t="shared" si="7"/>
        <v>10</v>
      </c>
      <c r="W97">
        <v>7.2</v>
      </c>
      <c r="X97" s="1">
        <f t="shared" si="12"/>
        <v>8.1</v>
      </c>
      <c r="Y97" s="1" t="s">
        <v>78</v>
      </c>
      <c r="Z97" s="3" t="s">
        <v>182</v>
      </c>
      <c r="AA97" s="2" t="str">
        <f>VLOOKUP(C97,Лист1!$B$1:$N$92,10,0)</f>
        <v>ЕАЭС N RU Д-CN.РА01.В.65848/21</v>
      </c>
      <c r="AB97" s="2">
        <f>VLOOKUP(C97,Лист1!$B$1:$N$92,11,0)</f>
        <v>44330</v>
      </c>
      <c r="AC97" s="2">
        <f>VLOOKUP(C97,Лист1!$B$1:$N$92,12,0)</f>
        <v>44330</v>
      </c>
      <c r="AD97" s="2">
        <f>VLOOKUP(C97,Лист1!$B$1:$N$92,13,0)</f>
        <v>46154</v>
      </c>
      <c r="AE97" t="s">
        <v>10</v>
      </c>
      <c r="AF97" t="s">
        <v>195</v>
      </c>
      <c r="AG97" t="s">
        <v>224</v>
      </c>
      <c r="AH97" t="str">
        <f>VLOOKUP(C97,Лист1!$B$3:$P$289,15,0)</f>
        <v xml:space="preserve">SICOM3028GPT-L2F-MB-L3-L3-S - промышленные коммутаторы с широким спектром сфер применния и модульным дизайном для простоты масштабирования и расширения функционала устройства. 
Характеристики
Порты
Медные или оптические порты 100 Мбит/с 
до 24 
Медные или оптические гигабитные порты 
до 4 
Системная производительность
Стандарты: 
IEEE802.3i, IEEE802.3u, IEEE802.3ab, IEEE802.3ac, IEEE802.3ad, IEEE802.3z, IEEE802.3x, IEEE802.1p, IEEE802.1Q, IEEE802.1s, IEEE802.1X, IEC62439-6, 
IEC 61850-8-1 GOOSE сообщения 
Протоколы 
DT-Ring, DT-Ring+, MSTP, DRP; IGMP Snooping, GMRP;
VLAN, GVRP, PVLAN;
Telnet, HTTP, HTTPS, SNMPv1/v2/v3, RMON, LLDP, Bootp, DHCP server/relay/client, DHCP Option 82;
SNTP, PTP, RTC;
SSH, SSL, TACACS+, RADIUS, ACL;
ARP, Modbus TCP, QoS, LACP
PRP, HSR 
Пропускная способность устройства 
9.5 Mpps 
Параметры оптических портов
Длина волны 
1310нм (одномод), 1550нм (одномод), 1310 (многомод) 
Расстояние передачи 
10~80км (одномод) , до 5 км (100M многомод) , до 2 км (1000M многомод) 
Тип коннектора 
SC, ST, FC 
Питание
Напряжение питания 
Резервированное: от 18 до36 Вольт постоянного тока
Потребляемая мощность 
До 48 Ватт
Механические характеристики
Размеры
482.6мм x 44мм x 360мм
Крепление 
19” стойка 
Класс защиты 
IP40 
Рабочая температура 
от -40 до +85С 
Температура хранения 
-40 до +85C 
Влажность 
от 5 до 95% (без конденсата) 
MTBF 
359000 часов 
Гарантия 
5 лет 
</v>
      </c>
    </row>
    <row r="98" spans="1:34" hidden="1" x14ac:dyDescent="0.25">
      <c r="A98" s="2">
        <v>44574</v>
      </c>
      <c r="B98" t="e">
        <f>VLOOKUP(C98,Лист1!$B$1:$N$67,2,0)</f>
        <v>#N/A</v>
      </c>
      <c r="C98" t="s">
        <v>193</v>
      </c>
      <c r="D98" s="5" t="e">
        <f>VLOOKUP(C98,Лист1!$B$2:$T$292,14,0)</f>
        <v>#N/A</v>
      </c>
      <c r="E98">
        <v>1</v>
      </c>
      <c r="F98" s="19" t="e">
        <v>#N/A</v>
      </c>
      <c r="G98" s="19" t="e">
        <f t="shared" si="8"/>
        <v>#N/A</v>
      </c>
      <c r="H98" t="e">
        <f>VLOOKUP(C98,Лист1!$B$1:$N$67,4,0)</f>
        <v>#N/A</v>
      </c>
      <c r="I98" t="s">
        <v>15</v>
      </c>
      <c r="J98" t="s">
        <v>18</v>
      </c>
      <c r="K98">
        <v>156</v>
      </c>
      <c r="L98" t="s">
        <v>10</v>
      </c>
      <c r="M98" t="s">
        <v>19</v>
      </c>
      <c r="N98" t="s">
        <v>13</v>
      </c>
      <c r="O98" t="s">
        <v>82</v>
      </c>
      <c r="P98">
        <v>10052</v>
      </c>
      <c r="Q98" t="e">
        <f>VLOOKUP(C98,Лист1!$B$1:$N$142,5,0)</f>
        <v>#N/A</v>
      </c>
      <c r="R98" s="4" t="e">
        <f>VLOOKUP(C98,Лист1!$B$1:$N$142,6,0)</f>
        <v>#N/A</v>
      </c>
      <c r="S98" s="4" t="e">
        <f>VLOOKUP(C98,Лист1!$B$1:$N$142,7,0)</f>
        <v>#N/A</v>
      </c>
      <c r="T98" s="4" t="e">
        <f>VLOOKUP(C98,Лист1!$B$1:$N$142,8,0)</f>
        <v>#N/A</v>
      </c>
      <c r="U98" s="10" t="e">
        <f>VLOOKUP(C98,Лист1!$B$1:$N$142,9,0)</f>
        <v>#N/A</v>
      </c>
      <c r="V98" s="10" t="e">
        <f t="shared" si="7"/>
        <v>#N/A</v>
      </c>
      <c r="W98">
        <v>8.1</v>
      </c>
      <c r="X98" s="1">
        <f t="shared" si="12"/>
        <v>9.1124999999999989</v>
      </c>
      <c r="Y98" s="1" t="s">
        <v>78</v>
      </c>
      <c r="Z98" s="3" t="s">
        <v>182</v>
      </c>
      <c r="AA98" s="2" t="e">
        <f>VLOOKUP(C98,Лист1!$B$1:$N$92,10,0)</f>
        <v>#N/A</v>
      </c>
      <c r="AB98" s="2" t="e">
        <f>VLOOKUP(C98,Лист1!$B$1:$N$92,11,0)</f>
        <v>#N/A</v>
      </c>
      <c r="AC98" s="2" t="e">
        <f>VLOOKUP(C98,Лист1!$B$1:$N$92,12,0)</f>
        <v>#N/A</v>
      </c>
      <c r="AD98" s="2" t="e">
        <f>VLOOKUP(C98,Лист1!$B$1:$N$92,13,0)</f>
        <v>#N/A</v>
      </c>
      <c r="AE98" t="s">
        <v>10</v>
      </c>
      <c r="AF98" t="s">
        <v>195</v>
      </c>
      <c r="AG98" t="s">
        <v>224</v>
      </c>
      <c r="AH98" t="e">
        <f>VLOOKUP(C98,Лист1!$B$3:$P$289,15,0)</f>
        <v>#N/A</v>
      </c>
    </row>
    <row r="99" spans="1:34" ht="150" hidden="1" x14ac:dyDescent="0.25">
      <c r="A99" s="2">
        <v>44679</v>
      </c>
      <c r="B99">
        <f>VLOOKUP(C99,Лист1!$B$1:$N$67,2,0)</f>
        <v>8517620003</v>
      </c>
      <c r="C99" t="s">
        <v>176</v>
      </c>
      <c r="D99" s="5" t="str">
        <f>VLOOKUP(C99,Лист1!$B$2:$T$292,14,0)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консольным кабелем.</v>
      </c>
      <c r="E99">
        <v>10</v>
      </c>
      <c r="F99" s="19">
        <v>1326.7</v>
      </c>
      <c r="G99" s="19">
        <f t="shared" si="8"/>
        <v>13267</v>
      </c>
      <c r="H99" t="str">
        <f>VLOOKUP(C99,Лист1!$B$1:$N$67,4,0)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99" t="s">
        <v>15</v>
      </c>
      <c r="J99" t="s">
        <v>18</v>
      </c>
      <c r="K99">
        <v>156</v>
      </c>
      <c r="L99" t="s">
        <v>10</v>
      </c>
      <c r="M99" t="s">
        <v>19</v>
      </c>
      <c r="N99" t="s">
        <v>13</v>
      </c>
      <c r="O99" t="s">
        <v>82</v>
      </c>
      <c r="P99">
        <v>10052</v>
      </c>
      <c r="Q99" t="str">
        <f>VLOOKUP(C99,Лист1!$B$1:$N$142,5,0)</f>
        <v>RU0000053827</v>
      </c>
      <c r="R99" s="4">
        <f>VLOOKUP(C99,Лист1!$B$1:$N$142,6,0)</f>
        <v>44431</v>
      </c>
      <c r="S99" s="4">
        <f>VLOOKUP(C99,Лист1!$B$1:$N$142,7,0)</f>
        <v>44431</v>
      </c>
      <c r="T99" s="4">
        <f>VLOOKUP(C99,Лист1!$B$1:$N$142,8,0)</f>
        <v>48213</v>
      </c>
      <c r="U99" s="10">
        <f>VLOOKUP(C99,Лист1!$B$1:$N$142,9,0)</f>
        <v>3</v>
      </c>
      <c r="V99" s="10">
        <f t="shared" si="7"/>
        <v>30</v>
      </c>
      <c r="W99">
        <v>30</v>
      </c>
      <c r="X99" s="1">
        <v>36</v>
      </c>
      <c r="Y99" s="1" t="s">
        <v>78</v>
      </c>
      <c r="Z99" s="3" t="s">
        <v>182</v>
      </c>
      <c r="AA99" s="2" t="str">
        <f>VLOOKUP(C99,Лист1!$B$1:$N$92,10,0)</f>
        <v>ЕАЭС N RU Д-CN.РА01.В.95186/21</v>
      </c>
      <c r="AB99" s="2">
        <f>VLOOKUP(C99,Лист1!$B$1:$N$92,11,0)</f>
        <v>44435</v>
      </c>
      <c r="AC99" s="2">
        <f>VLOOKUP(C99,Лист1!$B$1:$N$92,12,0)</f>
        <v>44435</v>
      </c>
      <c r="AD99" s="2">
        <f>VLOOKUP(C99,Лист1!$B$1:$N$92,13,0)</f>
        <v>46253</v>
      </c>
      <c r="AE99" t="s">
        <v>10</v>
      </c>
      <c r="AF99" t="s">
        <v>201</v>
      </c>
      <c r="AG99" t="s">
        <v>224</v>
      </c>
      <c r="AH99" t="str">
        <f>VLOOKUP(C99,Лист1!$B$3:$P$289,15,0)</f>
        <v xml:space="preserve">SYM6416G – серия десяти-гигабитных управляемых коммутаторов на DIN-рейку, разработанных для систем передачи данных в энергетике, на транспорте, в горнодобывающей промышленности и др. Коммутатор имеет SFP порты 10Г . Прочный корпус без вентилятора с гофрированной поверхностью, способность работать в широком температурном диапазоне позволяет оборудованию стабильно работать в экстремальных промышленных условиях. В данном устройстве реализована поддержка протокола синхронизации точного времени IEEE1588 PTPv2 с точностью синхронизации 100нс. Коммутаторы могут крепиться на DIN-рейку или панель. Диапазон рабочих температур коммутаторов SYM6416G от -40° до +75°.
Характеристики
Порты
10G Base-X SFP	4
10/100/1000Base-TX	4
 100/1000Base-X SFP	8
Системная производительность
Стандарты	IEEE802.3i IEEE802.3u IEEE802.3ab IEEE802.3z IEEE 802.3ae IEEE 802.3ad IEEE802.3x IEEE802.1p IEEE802.1q IEEE 802.1w IEEE802.1s IEEE 802.1x IEEE1588
Функции 2 уровня	STP/RSTP
Поддержка до 4094 VLAN
VLAN на базе портов и 802.1Q
VLAN на основе MAC-адресов
управление VLAN, Private VLAN
динамическое назначение VLAN с использованием RADIUS- сервера
Поддержка QoS очередей на порт 8
DHCP
IGMP для фильтрации трафика групповой рассылки (до 4К групп)
Блокирование «Head-of-Line» (HOL)
Функции 3 уровня	Маршрутизация IPv4
Статическая маршрутизация
RIP v2 для динамической маршрутизации
Поддержка VRRPv2/v3
Private VLAN (PVLAN)
Управление маршрутизацией на основе ACL IPv4 или IPv6
 Протоклоы резервирования	IEEE 802.1d Spanning Tree Protocol (STP)
IEEE 802.1w Rapid Spanning Tree Protocol (RSTP)
Питание
Напряжение питания	18-36 Вольт постоянного тока
Потребляемая мощность	До 35 Ватт
Механические характеристики
Класс защиты	IP40
Крепление	DIN-рейка или панель
Размеры (Ш х Г х В)	120мм×154мм×154мм
 Рабочая температура	от -40 до +75С
Температура хранения	-40 до +85C
Влажность	от 5 до 95% (без конденсата)
MTBF	223350 часов
Гарантия	5 лет </v>
      </c>
    </row>
    <row r="100" spans="1:34" ht="185.25" hidden="1" customHeight="1" x14ac:dyDescent="0.25">
      <c r="A100" s="2">
        <v>44679</v>
      </c>
      <c r="B100">
        <f>VLOOKUP(C100,Лист1!$B$1:$N$67,2,0)</f>
        <v>8517620003</v>
      </c>
      <c r="C100" t="s">
        <v>161</v>
      </c>
      <c r="D100" s="5" t="str">
        <f>VLOOKUP(C100,Лист1!$B$2:$T$292,14,0)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100">
        <v>1</v>
      </c>
      <c r="F100" s="19">
        <v>1313.2</v>
      </c>
      <c r="G100" s="19">
        <f t="shared" si="8"/>
        <v>1313.2</v>
      </c>
      <c r="H100" t="str">
        <f>VLOOKUP(C100,Лист1!$B$1:$N$67,4,0)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100" t="s">
        <v>15</v>
      </c>
      <c r="J100" t="s">
        <v>18</v>
      </c>
      <c r="K100">
        <v>156</v>
      </c>
      <c r="L100" t="s">
        <v>10</v>
      </c>
      <c r="M100" t="s">
        <v>19</v>
      </c>
      <c r="N100" t="s">
        <v>13</v>
      </c>
      <c r="O100" t="s">
        <v>82</v>
      </c>
      <c r="P100">
        <v>10052</v>
      </c>
      <c r="Q100" t="str">
        <f>VLOOKUP(C100,Лист1!$B$1:$N$142,5,0)</f>
        <v>RU0000053245</v>
      </c>
      <c r="R100" s="4">
        <f>VLOOKUP(C100,Лист1!$B$1:$N$142,6,0)</f>
        <v>44383</v>
      </c>
      <c r="S100" s="4">
        <f>VLOOKUP(C100,Лист1!$B$1:$N$142,7,0)</f>
        <v>44383</v>
      </c>
      <c r="T100" s="4">
        <f>VLOOKUP(C100,Лист1!$B$1:$N$142,8,0)</f>
        <v>48213</v>
      </c>
      <c r="U100" s="10">
        <f>VLOOKUP(C100,Лист1!$B$1:$N$142,9,0)</f>
        <v>10</v>
      </c>
      <c r="V100" s="10">
        <f t="shared" si="7"/>
        <v>10</v>
      </c>
      <c r="W100">
        <v>8</v>
      </c>
      <c r="X100" s="1">
        <v>10.45</v>
      </c>
      <c r="Y100" s="1" t="s">
        <v>78</v>
      </c>
      <c r="Z100" s="3" t="s">
        <v>182</v>
      </c>
      <c r="AA100" s="2" t="str">
        <f>VLOOKUP(C100,Лист1!$B$1:$N$92,10,0)</f>
        <v>ЕАЭС N RU Д-CN.РА01.В.65848/21</v>
      </c>
      <c r="AB100" s="2">
        <f>VLOOKUP(C100,Лист1!$B$1:$N$92,11,0)</f>
        <v>44330</v>
      </c>
      <c r="AC100" s="2">
        <f>VLOOKUP(C100,Лист1!$B$1:$N$92,12,0)</f>
        <v>44330</v>
      </c>
      <c r="AD100" s="2">
        <f>VLOOKUP(C100,Лист1!$B$1:$N$92,13,0)</f>
        <v>46154</v>
      </c>
      <c r="AE100" t="s">
        <v>10</v>
      </c>
      <c r="AF100" t="s">
        <v>201</v>
      </c>
      <c r="AG100" t="s">
        <v>224</v>
      </c>
      <c r="AH100" t="str">
        <f>VLOOKUP(C100,Лист1!$B$3:$P$289,15,0)</f>
        <v xml:space="preserve">SICOM3028GPT-L2F-MB-L3-L3-S - промышленные коммутаторы с широким спектром сфер применния и модульным дизайном для простоты масштабирования и расширения функционала устройства. 
Характеристики
Порты
Медные или оптические порты 100 Мбит/с 
до 24 
Медные или оптические гигабитные порты 
до 4 
Системная производительность
Стандарты: 
IEEE802.3i, IEEE802.3u, IEEE802.3ab, IEEE802.3ac, IEEE802.3ad, IEEE802.3z, IEEE802.3x, IEEE802.1p, IEEE802.1Q, IEEE802.1s, IEEE802.1X, IEC62439-6, 
IEC 61850-8-1 GOOSE сообщения 
Протоколы 
DT-Ring, DT-Ring+, MSTP, DRP; IGMP Snooping, GMRP;
VLAN, GVRP, PVLAN;
Telnet, HTTP, HTTPS, SNMPv1/v2/v3, RMON, LLDP, Bootp, DHCP server/relay/client, DHCP Option 82;
SNTP, PTP, RTC;
SSH, SSL, TACACS+, RADIUS, ACL;
ARP, Modbus TCP, QoS, LACP
PRP, HSR 
Пропускная способность устройства 
9.5 Mpps 
Параметры оптических портов
Длина волны 
1310нм (одномод), 1550нм (одномод), 1310 (многомод) 
Расстояние передачи 
10~80км (одномод) , до 5 км (100M многомод) , до 2 км (1000M многомод) 
Тип коннектора 
SC, ST, FC 
Питание
Напряжение питания 
Резервированное: от 18 до36 Вольт постоянного тока
Потребляемая мощность 
До 48 Ватт
Механические характеристики
Размеры
482.6мм x 44мм x 360мм
Крепление 
19” стойка 
Класс защиты 
IP40 
Рабочая температура 
от -40 до +85С 
Температура хранения 
-40 до +85C 
Влажность 
от 5 до 95% (без конденсата) 
MTBF 
359000 часов 
Гарантия 
5 лет 
</v>
      </c>
    </row>
    <row r="101" spans="1:34" ht="84.75" hidden="1" customHeight="1" x14ac:dyDescent="0.25">
      <c r="A101" s="2">
        <v>44679</v>
      </c>
      <c r="B101">
        <f>VLOOKUP(C101,Лист1!$B$1:$N$67,2,0)</f>
        <v>8517620002</v>
      </c>
      <c r="C101" t="s">
        <v>49</v>
      </c>
      <c r="D101" s="5" t="str">
        <f>VLOOKUP(C101,Лист1!$B$2:$T$292,14,0)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101">
        <v>1</v>
      </c>
      <c r="F101" s="19">
        <v>2782.4</v>
      </c>
      <c r="G101" s="19">
        <f t="shared" si="8"/>
        <v>2782.4</v>
      </c>
      <c r="H101" t="str">
        <f>VLOOKUP(C101,Лист1!$B$1:$N$67,4,0)</f>
        <v xml:space="preserve">SICOM3028GPT-L2F-MB-HV-HV-S - промышленные коммутаторы с широким спектром сфер применния и модульным дизайном для простоты масштабирования и расширения функционала устройства. 
Характеристики
Протоколы 
DT-Ring, DT-Ring+, MSTP, DRP; IGMP Snooping, GMRP;
VLAN, GVRP, PVLAN;
Telnet, HTTP, HTTPS, SNMPv1/v2/v3, RMON, LLDP, Bootp, DHCP server/relay/client, DHCP Option 82;
SNTP, PTP, RTC;
SSH, SSL, TACACS+, RADIUS, ACL; 
ARP, Modbus TCP, QoS, LACP
PRP, HSR 
Длина волны 
1310нм (одномод), 1550нм (одномод), 1310 (многомод) 
Расстояние передачи 
10~80км (одномод) , до 5 км (100M многомод) , до 2 км (1000M многомод) 
Тип коннектора 
SC, ST, FC 
Питание
Напряжение питания 
Резервированное: 220VAC/VDC (77-300VDC/85-264VAC) 
Потребляемая мощность 
менее 28 Вт (при установке только медных модулей)
менее 42 Вт (при установке только оптических модулей) 
Механические характеристики
Размеры
482.6мм x 44мм x 360мм
Крепление 
19” стойка 
Класс защиты 
IP40 
Рабочая температура 
от -40 до +85С 
Температура хранения 
-40 до +85C 
Влажность 
от 5 до 95% (без конденсата) 
MTBF 
359000 часов 
Гарантия 
5 лет </v>
      </c>
      <c r="I101" t="s">
        <v>15</v>
      </c>
      <c r="J101" t="s">
        <v>18</v>
      </c>
      <c r="K101">
        <v>156</v>
      </c>
      <c r="L101" t="s">
        <v>10</v>
      </c>
      <c r="M101" t="s">
        <v>19</v>
      </c>
      <c r="N101" t="s">
        <v>13</v>
      </c>
      <c r="O101" t="s">
        <v>82</v>
      </c>
      <c r="P101">
        <v>10052</v>
      </c>
      <c r="Q101" t="str">
        <f>VLOOKUP(C101,Лист1!$B$1:$N$142,5,0)</f>
        <v>RU0000053245</v>
      </c>
      <c r="R101" s="4">
        <f>VLOOKUP(C101,Лист1!$B$1:$N$142,6,0)</f>
        <v>44383</v>
      </c>
      <c r="S101" s="4">
        <f>VLOOKUP(C101,Лист1!$B$1:$N$142,7,0)</f>
        <v>44383</v>
      </c>
      <c r="T101" s="4">
        <f>VLOOKUP(C101,Лист1!$B$1:$N$142,8,0)</f>
        <v>48213</v>
      </c>
      <c r="U101" s="10">
        <f>VLOOKUP(C101,Лист1!$B$1:$N$142,9,0)</f>
        <v>10</v>
      </c>
      <c r="V101" s="10">
        <f t="shared" si="7"/>
        <v>10</v>
      </c>
      <c r="W101">
        <v>8</v>
      </c>
      <c r="X101" s="1">
        <v>10.45</v>
      </c>
      <c r="Y101" s="1" t="s">
        <v>78</v>
      </c>
      <c r="Z101" s="3" t="s">
        <v>182</v>
      </c>
      <c r="AA101" s="2" t="str">
        <f>VLOOKUP(C101,Лист1!$B$1:$N$92,10,0)</f>
        <v>ЕАЭС N RU Д-CN.КА01.В.23216/20</v>
      </c>
      <c r="AB101" s="2">
        <f>VLOOKUP(C101,Лист1!$B$1:$N$92,11,0)</f>
        <v>43908</v>
      </c>
      <c r="AC101" s="2">
        <f>VLOOKUP(C101,Лист1!$B$1:$N$92,12,0)</f>
        <v>43908</v>
      </c>
      <c r="AD101" s="2">
        <f>VLOOKUP(C101,Лист1!$B$1:$N$92,13,0)</f>
        <v>45733</v>
      </c>
      <c r="AE101" t="s">
        <v>10</v>
      </c>
      <c r="AF101" t="s">
        <v>201</v>
      </c>
      <c r="AG101" t="s">
        <v>224</v>
      </c>
      <c r="AH101" t="str">
        <f>VLOOKUP(C101,Лист1!$B$3:$P$289,15,0)</f>
        <v xml:space="preserve">SICOM3028GPT-L2F-MB-HV-HV-S - промышленные коммутаторы с широким спектром сфер применния и модульным дизайном для простоты масштабирования и расширения функционала устройства. 
Характеристики
Порты
Медные или оптические порты 100 Мбит/с 
до 24 
Медные или оптические гигабитные порты 
до 4 
Системная производительность
Стандарты: 
IEEE802.3i, IEEE802.3u, IEEE802.3ab, IEEE802.3ac, IEEE802.3ad, IEEE802.3z, IEEE802.3x, IEEE802.1p, IEEE802.1Q, IEEE802.1s, IEEE802.1X, IEC62439-6, 
IEC 61850-8-1 GOOSE сообщения 
Протоколы 
DT-Ring, DT-Ring+, MSTP, DRP; IGMP Snooping, GMRP;
VLAN, GVRP, PVLAN;
Telnet, HTTP, HTTPS, SNMPv1/v2/v3, RMON, LLDP, Bootp, DHCP server/relay/client, DHCP Option 82;
SNTP, PTP, RTC;
SSH, SSL, TACACS+, RADIUS, ACL; 
ARP, Modbus TCP, QoS, LACP
PRP, HSR 
Пропускная способность устройства 
9.5 Mpps 
Параметры оптических портов
Длина волны 
1310нм (одномод), 1550нм (одномод), 1310 (многомод) 
Расстояние передачи 
10~80км (одномод) , до 5 км (100M многомод) , до 2 км (1000M многомод) 
Тип коннектора 
SC, ST, FC 
Питание
Напряжение питания 
Резервированное: 220VAC/VDC (77-300VDC/85-264VAC) 
Потребляемая мощность 
менее 28 Вт (при установке только медных модулей)
менее 42 Вт (при установке только оптических модулей) 
Механические характеристики
Размеры
482.6мм x 44мм x 360мм
Крепление 
19” стойка 
Класс защиты 
IP40 
Рабочая температура 
от -40 до +85С 
Температура хранения 
-40 до +85C 
Влажность 
от 5 до 95% (без конденсата) 
MTBF 
359000 часов 
Гарантия 
5 лет </v>
      </c>
    </row>
    <row r="102" spans="1:34" ht="168.75" hidden="1" customHeight="1" x14ac:dyDescent="0.25">
      <c r="A102" s="2">
        <v>44679</v>
      </c>
      <c r="B102">
        <f>VLOOKUP(C102,Лист1!$B$1:$N$67,2,0)</f>
        <v>8517620003</v>
      </c>
      <c r="C102" s="27" t="s">
        <v>137</v>
      </c>
      <c r="D102" s="5" t="str">
        <f>VLOOKUP(C102,Лист1!$B$2:$T$292,14,0)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102">
        <v>1</v>
      </c>
      <c r="F102" s="19">
        <v>490</v>
      </c>
      <c r="G102" s="19">
        <f t="shared" si="8"/>
        <v>490</v>
      </c>
      <c r="H102" t="str">
        <f>VLOOKUP(C102,Лист1!$B$1:$N$67,4,0)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102" t="s">
        <v>15</v>
      </c>
      <c r="J102" t="s">
        <v>18</v>
      </c>
      <c r="K102">
        <v>156</v>
      </c>
      <c r="L102" t="s">
        <v>10</v>
      </c>
      <c r="M102" t="s">
        <v>19</v>
      </c>
      <c r="N102" t="s">
        <v>13</v>
      </c>
      <c r="O102" t="s">
        <v>82</v>
      </c>
      <c r="P102">
        <v>10052</v>
      </c>
      <c r="Q102" t="str">
        <f>VLOOKUP(C102,Лист1!$B$1:$N$142,5,0)</f>
        <v>RU0000051996</v>
      </c>
      <c r="R102" s="4">
        <f>VLOOKUP(C102,Лист1!$B$1:$N$142,6,0)</f>
        <v>44284</v>
      </c>
      <c r="S102" s="4">
        <f>VLOOKUP(C102,Лист1!$B$1:$N$142,7,0)</f>
        <v>44284</v>
      </c>
      <c r="T102" s="4">
        <f>VLOOKUP(C102,Лист1!$B$1:$N$142,8,0)</f>
        <v>47848</v>
      </c>
      <c r="U102" s="10">
        <f>VLOOKUP(C102,Лист1!$B$1:$N$142,9,0)</f>
        <v>1.25</v>
      </c>
      <c r="V102" s="10">
        <f t="shared" si="7"/>
        <v>1.25</v>
      </c>
      <c r="W102">
        <v>1.5</v>
      </c>
      <c r="X102" s="1">
        <v>1.8</v>
      </c>
      <c r="Y102" s="1" t="s">
        <v>78</v>
      </c>
      <c r="Z102" s="3" t="s">
        <v>182</v>
      </c>
      <c r="AA102" s="2" t="str">
        <f>VLOOKUP(C102,Лист1!$B$1:$N$92,10,0)</f>
        <v>ЕАЭС N RU Д-CN.РА01.В.32748/21</v>
      </c>
      <c r="AB102" s="2">
        <f>VLOOKUP(C102,Лист1!$B$1:$N$92,11,0)</f>
        <v>44309</v>
      </c>
      <c r="AC102" s="2">
        <f>VLOOKUP(C102,Лист1!$B$1:$N$92,12,0)</f>
        <v>44309</v>
      </c>
      <c r="AD102" s="2">
        <f>VLOOKUP(C102,Лист1!$B$1:$N$92,13,0)</f>
        <v>46134</v>
      </c>
      <c r="AE102" t="s">
        <v>10</v>
      </c>
      <c r="AF102" t="s">
        <v>201</v>
      </c>
      <c r="AG102" t="s">
        <v>224</v>
      </c>
      <c r="AH102" t="str">
        <f>VLOOKUP(C102,Лист1!$B$3:$P$289,15,0)</f>
        <v xml:space="preserve">RubySYM3A-3G-L2-L2 -УСТРОЙСТВО RUBY3A ОТ КОМПАНИИ KYLAND ПОДДЕРЖИВАЕТ ОДНОВРЕМЕННО ПРОТОКОЛЫ РЕЗЕРВИРОВАНИЯ HIGH AVAILABILITY SEAMLESS REDUNDANCY (HSR) И PARALLEL REDUNDANCY PROTOCOL (PRP). RUBY3ОБЕСПЕЧИВАЕТ БЕСПЕРЕБОЙНУЮ РАБОТУ ПРИ ЛЮБОМ ВОЗМОЖНОМ СБОЕ В СЕТИ. ЭТО ДОСТИГАЕТСЯ ОДНОВРЕМЕННОЙ ДУБЛИРОВАННОЙ ПЕРЕДАЧЕЙ ДАННЫХ ПО НЕЗАВИСИМЫМ МАРШРУТАМ ДЛЯ ОБЕСПЕЧЕНИЯ РЕЗЕРВИРОВАНИЯ НА УРОВНЕ КАНАЛОВ.  
Характеристики
•	Пароли – Многоуровневые пароли для защиты от неавторизованного доступа
•	SSH / SSL – Расширение парольной защиты, добавляющая 128-битное шифрование данных при передаче по сети
•	Защита MAC адресов – Возможность защищать порты так, чтобы доступ был только у устройств с авторизованными MAC адресами
•	RADIUS – Централизованная аутентификация с использованием хэш-функции MD5
•	SNMPv3 – Шифрование аутентификационной информации, передаваемой по сети (CBC-DES с ключом 56 бит)
•	SSL – Веб-управление с использованием шифрования (128 битный ключ)
•	Защита от ЭМИ и скачков напряжений
o	IEC 62439-3 PRP
o	IEEE 1613 (работа на электроподстанциях)
o	IEC 61850-3 (работа на электроподстанциях)
•	Рабочая температура: от –40°C до +85°C
•	Нет движущихся частей
•	Веб, Telnet, CLI
•	SNMP v1/v2/v3 (56-бит шифрование)
•	Удалённый мониторинг (RMON)
•	Широкий набор функций диагностики и протоколирования
•	Поддержка IEC 62439 MIB
•	Потребляемое напряжение: 24-48VDC (18-72Вольт постоянного тока)
•	Клеммная колодка для надёжных и удобных подключений кабелей
•	Размеры(ДхВхШ): 66*135*107.5 мм 
</v>
      </c>
    </row>
    <row r="103" spans="1:34" ht="62.25" hidden="1" customHeight="1" x14ac:dyDescent="0.25">
      <c r="A103" s="2">
        <v>44679</v>
      </c>
      <c r="B103">
        <f>VLOOKUP(C103,Лист1!$B$1:$N$67,2,0)</f>
        <v>8517620003</v>
      </c>
      <c r="C103" t="s">
        <v>196</v>
      </c>
      <c r="D103" s="5" t="str">
        <f>VLOOKUP(C103,Лист1!$B$2:$T$292,14,0)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103">
        <v>1</v>
      </c>
      <c r="F103" s="19">
        <v>225</v>
      </c>
      <c r="G103" s="19">
        <f t="shared" si="8"/>
        <v>225</v>
      </c>
      <c r="H103" t="str">
        <f>VLOOKUP(C103,Лист1!$B$1:$N$67,4,0)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103" t="s">
        <v>15</v>
      </c>
      <c r="J103" t="s">
        <v>18</v>
      </c>
      <c r="K103">
        <v>156</v>
      </c>
      <c r="L103" t="s">
        <v>10</v>
      </c>
      <c r="M103" t="s">
        <v>19</v>
      </c>
      <c r="N103" t="s">
        <v>13</v>
      </c>
      <c r="O103" t="s">
        <v>82</v>
      </c>
      <c r="P103">
        <v>10052</v>
      </c>
      <c r="Q103" t="str">
        <f>VLOOKUP(C103,Лист1!$B$1:$N$142,5,0)</f>
        <v>RU0000055090</v>
      </c>
      <c r="R103" s="4">
        <f>VLOOKUP(C103,Лист1!$B$1:$N$142,6,0)</f>
        <v>44543</v>
      </c>
      <c r="S103" s="4">
        <f>VLOOKUP(C103,Лист1!$B$1:$N$142,7,0)</f>
        <v>44543</v>
      </c>
      <c r="T103" s="4">
        <f>VLOOKUP(C103,Лист1!$B$1:$N$142,8,0)</f>
        <v>48213</v>
      </c>
      <c r="U103" s="10">
        <f>VLOOKUP(C103,Лист1!$B$1:$N$142,9,0)</f>
        <v>0.76</v>
      </c>
      <c r="V103" s="10">
        <f t="shared" si="7"/>
        <v>0.76</v>
      </c>
      <c r="W103">
        <v>1</v>
      </c>
      <c r="X103" s="1">
        <v>1.3</v>
      </c>
      <c r="Y103" s="1" t="s">
        <v>78</v>
      </c>
      <c r="Z103" s="3" t="s">
        <v>182</v>
      </c>
      <c r="AA103" s="2" t="str">
        <f>VLOOKUP(C103,Лист1!$B$1:$N$92,10,0)</f>
        <v>ЕАЭС N RU Д-CN.РА03.В.59715/21</v>
      </c>
      <c r="AB103" s="2">
        <f>VLOOKUP(C103,Лист1!$B$1:$N$92,11,0)</f>
        <v>44547</v>
      </c>
      <c r="AC103" s="2">
        <f>VLOOKUP(C103,Лист1!$B$1:$N$92,12,0)</f>
        <v>44547</v>
      </c>
      <c r="AD103" s="2">
        <f>VLOOKUP(C103,Лист1!$B$1:$N$92,13,0)</f>
        <v>46371</v>
      </c>
      <c r="AE103" t="s">
        <v>10</v>
      </c>
      <c r="AF103" t="s">
        <v>201</v>
      </c>
      <c r="AG103" t="s">
        <v>224</v>
      </c>
      <c r="AH103" t="str">
        <f>VLOOKUP(C103,Лист1!$B$3:$P$289,15,0)</f>
        <v xml:space="preserve">SYM3000A-LITE-1M4T-SC05-L3-L3 - промышленные коммутаторы с пониженным потреблением питания, которые могут применяться в ветроэнергетике, распределительных сетях, подстанциях, энергетических SCADA-системах, системах водоочистки, на автомагистралях, в металлургии и других сферах.
Характеристики
Порты
10/100Base-TX 
Д4
100Base-FX (многомод 1310нанометров, SC) 
1
Системная производительность
Стандарты: 
IEEE 802.3i, IEEE 802.3u, IEEE 802.3ac, IEEE802.3ad, IEEE 802.3z, IEEE 802.3x, IEEE 802.1p, IEEE 802.1Q, IEEE 802.1s, IEEE 802.1X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Двойной вход питания 24 Вольт постоянного тока (18-72VDC)
До 7 Вт
Механические характеристики
Размеры
53.6 x 135 x 106.5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v>
      </c>
    </row>
    <row r="104" spans="1:34" ht="72.75" hidden="1" customHeight="1" x14ac:dyDescent="0.25">
      <c r="A104" s="2">
        <v>44680</v>
      </c>
      <c r="B104">
        <f>VLOOKUP(C104,Лист1!$B$1:$N$67,2,0)</f>
        <v>8517620003</v>
      </c>
      <c r="C104" t="s">
        <v>90</v>
      </c>
      <c r="D104" s="5" t="str">
        <f>VLOOKUP(C104,Лист1!$B$2:$T$292,14,0)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104">
        <v>2</v>
      </c>
      <c r="F104" s="19">
        <v>145</v>
      </c>
      <c r="G104" s="19">
        <f t="shared" si="8"/>
        <v>290</v>
      </c>
      <c r="H104" t="str">
        <f>VLOOKUP(C104,Лист1!$B$1:$N$67,4,0)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104" t="s">
        <v>15</v>
      </c>
      <c r="J104" t="s">
        <v>18</v>
      </c>
      <c r="K104">
        <v>156</v>
      </c>
      <c r="L104" t="s">
        <v>10</v>
      </c>
      <c r="M104" t="s">
        <v>19</v>
      </c>
      <c r="N104" t="s">
        <v>13</v>
      </c>
      <c r="O104" t="s">
        <v>82</v>
      </c>
      <c r="P104">
        <v>10052</v>
      </c>
      <c r="Q104" t="str">
        <f>VLOOKUP(C104,Лист1!$B$1:$N$142,5,0)</f>
        <v>RU0000049917</v>
      </c>
      <c r="R104" s="4">
        <f>VLOOKUP(C104,Лист1!$B$1:$N$142,6,0)</f>
        <v>44099</v>
      </c>
      <c r="S104" s="4">
        <f>VLOOKUP(C104,Лист1!$B$1:$N$142,7,0)</f>
        <v>44099</v>
      </c>
      <c r="T104" s="4">
        <f>VLOOKUP(C104,Лист1!$B$1:$N$142,8,0)</f>
        <v>47848</v>
      </c>
      <c r="U104" s="10">
        <f>VLOOKUP(C104,Лист1!$B$1:$N$142,9,0)</f>
        <v>1.5</v>
      </c>
      <c r="V104" s="10">
        <f t="shared" si="7"/>
        <v>3</v>
      </c>
      <c r="W104">
        <v>4.5</v>
      </c>
      <c r="X104" s="1">
        <f t="shared" ref="X104" si="13">W104+W104*0.19</f>
        <v>5.3550000000000004</v>
      </c>
      <c r="Y104" s="1" t="s">
        <v>78</v>
      </c>
      <c r="Z104" s="3" t="s">
        <v>182</v>
      </c>
      <c r="AA104" s="2" t="str">
        <f>VLOOKUP(C104,Лист1!$B$1:$N$92,10,0)</f>
        <v>ЕАЭС N RU Д-CN.РА01.В.65848/21</v>
      </c>
      <c r="AB104" s="2">
        <f>VLOOKUP(C104,Лист1!$B$1:$N$92,11,0)</f>
        <v>44330</v>
      </c>
      <c r="AC104" s="2">
        <f>VLOOKUP(C104,Лист1!$B$1:$N$92,12,0)</f>
        <v>44330</v>
      </c>
      <c r="AD104" s="2">
        <f>VLOOKUP(C104,Лист1!$B$1:$N$92,13,0)</f>
        <v>46154</v>
      </c>
      <c r="AE104" t="s">
        <v>10</v>
      </c>
      <c r="AF104" t="s">
        <v>202</v>
      </c>
      <c r="AG104" t="s">
        <v>224</v>
      </c>
      <c r="AH104" s="5" t="str">
        <f>VLOOKUP(C104,Лист1!$B$3:$P$289,15,0)</f>
        <v xml:space="preserve">SYM3000A - серия гигабитных управляемых коммутаторов на DIN-рейку, разработанных для систем передачи данных в энергетике, на транспорте, в горнодобывающей промышленности и др. Коммутатор имеет до 12 гигабитных SFP разъемов и до 16 гигабитных RJ45 портов. Прочный корпус без вентилятора с гофрированной поверхностью, способность работать в широком температурном диапазоне позволяет оборудованию стабильно работать в экстремальных промышленных условиях. В данном устройстве реализована поддержка протокола синхронизации точного времени IEEE1588 PTPv2 с точностью синхронизации 100нс.
Характеристики
Порты
10/100Base-TX Ethernet RJ45
8 шт.
100Base-X Ethernet SFP
2 шт.
Системная производительность
Стандарты: 
IEEE802.3i, IEEE802.3u, IEEE802.3ab, IEEE802.3z, IEEE 802.3ad, IEEE 802.1d, IEEE 802.1w, IEEE802.3x, IEEE802.1p, IEEE802.1Q, IEEE802.1s, IEEE 802.1x, IEEE 802.1ab, IEEE1588 V2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Двойной вход питания 24 Вольт постоянного тока (18-72VDC)
До 10 Вт
Механические характеристики
Размеры
66×135×107.5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v>
      </c>
    </row>
    <row r="105" spans="1:34" ht="165" hidden="1" x14ac:dyDescent="0.25">
      <c r="A105" s="2">
        <v>44692</v>
      </c>
      <c r="B105">
        <f>VLOOKUP(C105,Лист1!$B$1:$N$67,2,0)</f>
        <v>8517620003</v>
      </c>
      <c r="C105" t="s">
        <v>203</v>
      </c>
      <c r="D105" s="5" t="str">
        <f>VLOOKUP(C105,Лист1!$B$2:$T$292,14,0)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105">
        <v>10</v>
      </c>
      <c r="F105" s="19">
        <v>495</v>
      </c>
      <c r="G105" s="19">
        <f t="shared" si="8"/>
        <v>4950</v>
      </c>
      <c r="H105" t="str">
        <f>VLOOKUP(C105,Лист1!$B$1:$N$67,4,0)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105" t="s">
        <v>15</v>
      </c>
      <c r="J105" t="s">
        <v>18</v>
      </c>
      <c r="K105">
        <v>156</v>
      </c>
      <c r="L105" t="s">
        <v>10</v>
      </c>
      <c r="M105" t="s">
        <v>19</v>
      </c>
      <c r="N105" t="s">
        <v>13</v>
      </c>
      <c r="O105" t="s">
        <v>82</v>
      </c>
      <c r="P105">
        <v>10052</v>
      </c>
      <c r="Q105" t="str">
        <f>VLOOKUP(C105,Лист1!$B$1:$N$142,5,0)</f>
        <v>RU0000049918</v>
      </c>
      <c r="R105" s="4">
        <f>VLOOKUP(C105,Лист1!$B$1:$N$142,6,0)</f>
        <v>44099</v>
      </c>
      <c r="S105" s="4">
        <f>VLOOKUP(C105,Лист1!$B$1:$N$142,7,0)</f>
        <v>44099</v>
      </c>
      <c r="T105" s="4">
        <f>VLOOKUP(C105,Лист1!$B$1:$N$142,8,0)</f>
        <v>47848</v>
      </c>
      <c r="U105" s="10">
        <f>VLOOKUP(C105,Лист1!$B$1:$N$142,9,0)</f>
        <v>1.5</v>
      </c>
      <c r="V105" s="10">
        <f t="shared" si="7"/>
        <v>15</v>
      </c>
      <c r="W105">
        <v>16.5</v>
      </c>
      <c r="X105" s="1">
        <v>18</v>
      </c>
      <c r="Y105" s="1" t="s">
        <v>78</v>
      </c>
      <c r="Z105" s="3" t="s">
        <v>182</v>
      </c>
      <c r="AA105" s="2" t="str">
        <f>VLOOKUP(C105,Лист1!$B$1:$N$92,10,0)</f>
        <v>ЕАЭС N RU Д-CN.РА01.В.65848/21</v>
      </c>
      <c r="AB105" s="2">
        <f>VLOOKUP(C105,Лист1!$B$1:$N$92,11,0)</f>
        <v>44330</v>
      </c>
      <c r="AC105" s="2">
        <f>VLOOKUP(C105,Лист1!$B$1:$N$92,12,0)</f>
        <v>44330</v>
      </c>
      <c r="AD105" s="2">
        <f>VLOOKUP(C105,Лист1!$B$1:$N$92,13,0)</f>
        <v>46154</v>
      </c>
      <c r="AE105" t="s">
        <v>10</v>
      </c>
      <c r="AF105" t="s">
        <v>205</v>
      </c>
      <c r="AG105" t="s">
        <v>224</v>
      </c>
      <c r="AH105" t="str">
        <f>VLOOKUP(C105,Лист1!$B$3:$P$289,15,0)</f>
        <v>SYM6000A-4GX8GE-L2-L2 - промышленные коммутаторы с пониженным потреблением питания, которые могут применяться в ветроэнергетике, распределительных сетях, подстанциях, энергетических SCADA-системах, системах водоочистки, на автомагистралях, в металлургии и других сферах.
Коммутаторы могут крепиться на DIN-рейку или панель. Устройства соответствуют IEC61850-3. Диапазон рабочих температур коммутаторов SYM6000A-4GX8GE-L2-L2 от -40° до +85°. Оптические порты коммутатора способны передавать данные на расстояния до 80 км.
В SFP-порты коммутатора можно установить специальные модули, которые могут поддерживать как оптические соединения (одномод или многомод), так и медные.
Характеристики
Порты
Гигабитные SFP
4
10/100/1000Base-TX
8
Системная производительность
Стандарты:
IEEE 802.3i, IEEE 802.3u, IEEE 802.3ab, IEEE 802.3z, IEEE 802.3x, IEEE 802.1p, IEEE 802.1Q, IEEE 802.1s
Протоколы
DT-Ring, DT-Ring+, DT-VLAN, MSTP; 
IGMP Snooping, GMRP;
VLAN, PVLAN; 
Telnet, HTTP, HTTPS, SNMPv1/v2/v3, RMON, LLDP, SNTP, DHCP server; 
DT-Psec, SSH, SSL, ACL;
ARP, QoS
Пропускная способность устройства
52 Гбит/с
Питание
Напряжение питания
24VDC (18-36Вольт постоянного тока)
Потребляемая мощность
менее 18 Вт
Механические характеристики
Размеры
88 х 135 х 137 мм
Крепление
DIN-рейка или панель
Класс защиты
IP40
Рабочая температура
от -40 до +85С
Температура хранения
-40 до +85C
Влажность
от 5 до 95% (без конденсата)
MTBF
323350 часов
Гарантия
5 лет</v>
      </c>
    </row>
    <row r="106" spans="1:34" ht="165" hidden="1" x14ac:dyDescent="0.25">
      <c r="A106" s="2">
        <v>44705</v>
      </c>
      <c r="B106">
        <f>VLOOKUP(C106,Лист1!$B$1:$N$67,2,0)</f>
        <v>8517620003</v>
      </c>
      <c r="C106" t="s">
        <v>206</v>
      </c>
      <c r="D106" s="5" t="str">
        <f>VLOOKUP(C106,Лист1!$B$2:$T$292,14,0)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106">
        <v>4</v>
      </c>
      <c r="F106" s="19">
        <v>3432</v>
      </c>
      <c r="G106" s="19">
        <f t="shared" si="8"/>
        <v>13728</v>
      </c>
      <c r="H106" t="str">
        <f>VLOOKUP(C106,Лист1!$B$1:$N$67,4,0)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106" t="s">
        <v>15</v>
      </c>
      <c r="J106" t="s">
        <v>18</v>
      </c>
      <c r="K106">
        <v>156</v>
      </c>
      <c r="L106" t="s">
        <v>10</v>
      </c>
      <c r="M106" t="s">
        <v>19</v>
      </c>
      <c r="N106" t="s">
        <v>13</v>
      </c>
      <c r="O106" t="s">
        <v>82</v>
      </c>
      <c r="P106">
        <v>10052</v>
      </c>
      <c r="Q106" t="str">
        <f>VLOOKUP(C106,Лист1!$B$1:$N$142,5,0)</f>
        <v>RU0000053245</v>
      </c>
      <c r="R106" s="4">
        <f>VLOOKUP(C106,Лист1!$B$1:$N$142,6,0)</f>
        <v>44383</v>
      </c>
      <c r="S106" s="4">
        <f>VLOOKUP(C106,Лист1!$B$1:$N$142,7,0)</f>
        <v>44383</v>
      </c>
      <c r="T106" s="4">
        <f>VLOOKUP(C106,Лист1!$B$1:$N$142,8,0)</f>
        <v>48213</v>
      </c>
      <c r="U106" s="10">
        <f>VLOOKUP(C106,Лист1!$B$1:$N$142,9,0)</f>
        <v>10</v>
      </c>
      <c r="V106" s="10">
        <f t="shared" si="7"/>
        <v>40</v>
      </c>
      <c r="W106">
        <v>32</v>
      </c>
      <c r="X106" s="1">
        <v>38.130000000000003</v>
      </c>
      <c r="Y106" s="1" t="s">
        <v>78</v>
      </c>
      <c r="Z106" s="3" t="s">
        <v>182</v>
      </c>
      <c r="AA106" s="2" t="str">
        <f>VLOOKUP(C106,Лист1!$B$1:$N$92,10,0)</f>
        <v>ЕАЭС N RU Д-CN.КА01.В.23216/20</v>
      </c>
      <c r="AB106" s="2">
        <f>VLOOKUP(C106,Лист1!$B$1:$N$92,11,0)</f>
        <v>43908</v>
      </c>
      <c r="AC106" s="2">
        <f>VLOOKUP(C106,Лист1!$B$1:$N$92,12,0)</f>
        <v>43908</v>
      </c>
      <c r="AD106" s="2">
        <f>VLOOKUP(C106,Лист1!$B$1:$N$92,13,0)</f>
        <v>45733</v>
      </c>
      <c r="AE106" t="s">
        <v>10</v>
      </c>
      <c r="AF106" t="s">
        <v>216</v>
      </c>
      <c r="AG106" t="s">
        <v>224</v>
      </c>
      <c r="AH106" t="str">
        <f>VLOOKUP(C106,Лист1!$B$3:$P$289,15,0)</f>
        <v xml:space="preserve">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Характеристики
Порты
Оптические или медные порты 100 Мбит/с 
до 24 
Оптические или медные гигабитные порты 
до 4
Системная производительность
Стандарты: 
IEEE 802.3i, IEEE 802.3u, IEEE 802.3ab, IEEE802.3ac, IEEE 802.3ad, IEEE 802.3z, IEEE 802.3x, IEEE 802.1p, IEEE 802.1Q, IEEE 802.1s, IEEE802.1X, IEC62439-6,
IEC 61850-8-1 GOOSE сообщения 
Протоколы 
DT-Ring, DT-Ring+, MSTP, DRP, VRRP; IGMP, IGMP Snooping, GMRP, PIM-SM, PIM-DM, DVMRP; 
RIPv1/v2, OSPFv2, BGPv4;
VLAN, GVRP, PVLAN; 
Telnet, HTTP, HTTPS, SNMPv1/v2/v3, RMON, LLDP, BootP, DHCP Option 82, DHCP server/relay/client; 
SNTP, RTC;
SSH, SSL, TACACS+, RADIUS, ACL; 
ARP, Modbus TCP, QoS, LACP
PRP, HSR 
Пропускная способность устройства 
9.5 Mpps 
Питание
Напряжение питания: 2x 85-264Вольт переменного тока или 77-370Вольт постоянного тока 
Механические характеристики
Размеры
482.6 x 44 x 360 мм
Крепление 
19” стойка 
Класс защиты 
IP40 
Рабочая температура 
от -40 до +85С 
Температура хранения 
-40 до +85C 
Влажность 
от 5 до 95% (без конденсата) 
MTBF 
368000 часов 
Гарантия 
5 лет </v>
      </c>
    </row>
    <row r="107" spans="1:34" ht="54.75" hidden="1" customHeight="1" x14ac:dyDescent="0.25">
      <c r="A107" s="2">
        <v>44705</v>
      </c>
      <c r="B107">
        <f>VLOOKUP(C107,Лист1!$B$1:$N$67,2,0)</f>
        <v>8517620003</v>
      </c>
      <c r="C107" t="s">
        <v>209</v>
      </c>
      <c r="D107" s="5" t="str">
        <f>VLOOKUP(C107,Лист1!$B$2:$T$292,14,0)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107">
        <v>1</v>
      </c>
      <c r="F107" s="19">
        <v>446</v>
      </c>
      <c r="G107" s="19">
        <f t="shared" ref="G107" si="14">F107*E107</f>
        <v>446</v>
      </c>
      <c r="H107" t="str">
        <f>VLOOKUP(C107,Лист1!$B$1:$N$67,4,0)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107" t="s">
        <v>15</v>
      </c>
      <c r="J107" t="s">
        <v>18</v>
      </c>
      <c r="K107">
        <v>156</v>
      </c>
      <c r="L107" t="s">
        <v>10</v>
      </c>
      <c r="M107" t="s">
        <v>19</v>
      </c>
      <c r="N107" t="s">
        <v>13</v>
      </c>
      <c r="O107" t="s">
        <v>82</v>
      </c>
      <c r="P107">
        <v>10053</v>
      </c>
      <c r="Q107" t="str">
        <f>VLOOKUP(C107,Лист1!$B$1:$N$142,5,0)</f>
        <v xml:space="preserve">RU0000049917
</v>
      </c>
      <c r="R107" s="4">
        <f>VLOOKUP(C107,Лист1!$B$1:$N$142,6,0)</f>
        <v>44099</v>
      </c>
      <c r="S107" s="4">
        <f>VLOOKUP(C107,Лист1!$B$1:$N$142,7,0)</f>
        <v>44099</v>
      </c>
      <c r="T107" s="4">
        <f>VLOOKUP(C107,Лист1!$B$1:$N$142,8,0)</f>
        <v>47848</v>
      </c>
      <c r="U107" s="10">
        <f>VLOOKUP(C107,Лист1!$B$1:$N$142,9,0)</f>
        <v>1.5</v>
      </c>
      <c r="V107" s="10">
        <f t="shared" ref="V107" si="15">U107*E107</f>
        <v>1.5</v>
      </c>
      <c r="W107">
        <v>1.5</v>
      </c>
      <c r="X107" s="1">
        <v>1.8</v>
      </c>
      <c r="Y107" s="1" t="s">
        <v>78</v>
      </c>
      <c r="Z107" s="3" t="s">
        <v>210</v>
      </c>
      <c r="AA107" s="2" t="str">
        <f>VLOOKUP(C107,Лист1!$B$1:$N$92,10,0)</f>
        <v>ЕАЭС N RU Д-CN.КА01.В.27192/20</v>
      </c>
      <c r="AB107" s="2">
        <f>VLOOKUP(C107,Лист1!$B$1:$N$92,11,0)</f>
        <v>43984</v>
      </c>
      <c r="AC107" s="2">
        <f>VLOOKUP(C107,Лист1!$B$1:$N$92,12,0)</f>
        <v>43984</v>
      </c>
      <c r="AD107" s="2">
        <f>VLOOKUP(C107,Лист1!$B$1:$N$92,13,0)</f>
        <v>45809</v>
      </c>
      <c r="AE107" t="s">
        <v>10</v>
      </c>
      <c r="AF107" t="s">
        <v>216</v>
      </c>
      <c r="AG107" t="s">
        <v>224</v>
      </c>
      <c r="AH107" t="str">
        <f>VLOOKUP(C107,Лист1!$B$3:$P$289,15,0)</f>
        <v xml:space="preserve">SYM3000A - серия гигабитных управляемых коммутаторов на DIN-рейку, разработанных для систем передачи данных в энергетике, на транспорте, в горнодобывающей промышленности и др. Коммутатор имеет до 12 гигабитных SFP разъемов и до 16 гигабитных RJ45 портов. Прочный корпус без вентилятора с гофрированной поверхностью, способность работать в широком температурном диапазоне позволяет оборудованию стабильно работать в экстремальных промышленных условиях. В данном устройстве реализована поддержка протокола синхронизации точного времени IEEE1588 PTPv2 с точностью синхронизации 100нс.
Характеристики
Порты
10/100/1000Base-TX Ethernet RJ45
8 шт.
100/1000Base-X Ethernet SFP
2 шт.
Системная производительность
Стандарты: 
IEEE802.3i, IEEE802.3u, IEEE802.3ab, IEEE802.3z, IEEE 802.3ad, IEEE 802.1d, IEEE 802.1w, IEEE802.3x, IEEE802.1p, IEEE802.1Q, IEEE802.1s, IEEE 802.1x, IEEE 802.1ab, IEEE1588 V2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Вход питания 220 Вольт постоянного тока и 220 переменного тока (85-264VAC/77-300VDC)
До 10 Вт
Механические характеристики
Размеры
66×135×107.5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v>
      </c>
    </row>
    <row r="108" spans="1:34" ht="46.5" hidden="1" customHeight="1" x14ac:dyDescent="0.25">
      <c r="A108" s="2">
        <v>44705</v>
      </c>
      <c r="B108">
        <f>VLOOKUP(C108,Лист1!$B$1:$N$67,2,0)</f>
        <v>8517620003</v>
      </c>
      <c r="C108" t="s">
        <v>207</v>
      </c>
      <c r="D108" s="5" t="str">
        <f>VLOOKUP(C108,Лист1!$B$2:$T$292,14,0)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108">
        <v>2</v>
      </c>
      <c r="F108" s="19">
        <v>368</v>
      </c>
      <c r="G108" s="19">
        <f t="shared" si="8"/>
        <v>736</v>
      </c>
      <c r="H108" t="str">
        <f>VLOOKUP(C108,Лист1!$B$1:$N$67,4,0)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108" t="s">
        <v>15</v>
      </c>
      <c r="J108" t="s">
        <v>18</v>
      </c>
      <c r="K108">
        <v>156</v>
      </c>
      <c r="L108" t="s">
        <v>10</v>
      </c>
      <c r="M108" t="s">
        <v>19</v>
      </c>
      <c r="N108" t="s">
        <v>13</v>
      </c>
      <c r="O108" t="s">
        <v>82</v>
      </c>
      <c r="P108">
        <v>10052</v>
      </c>
      <c r="Q108" t="str">
        <f>VLOOKUP(C108,Лист1!$B$1:$N$142,5,0)</f>
        <v>RU0000049917</v>
      </c>
      <c r="R108" s="4">
        <f>VLOOKUP(C108,Лист1!$B$1:$N$142,6,0)</f>
        <v>44099</v>
      </c>
      <c r="S108" s="4">
        <f>VLOOKUP(C108,Лист1!$B$1:$N$142,7,0)</f>
        <v>44099</v>
      </c>
      <c r="T108" s="4">
        <f>VLOOKUP(C108,Лист1!$B$1:$N$142,8,0)</f>
        <v>47848</v>
      </c>
      <c r="U108" s="10">
        <f>VLOOKUP(C108,Лист1!$B$1:$N$142,9,0)</f>
        <v>1.5</v>
      </c>
      <c r="V108" s="10">
        <f t="shared" si="7"/>
        <v>3</v>
      </c>
      <c r="W108">
        <v>3</v>
      </c>
      <c r="X108" s="1">
        <f t="shared" ref="X108:X110" si="16">W108+W108*0.19</f>
        <v>3.5700000000000003</v>
      </c>
      <c r="Y108" s="1" t="s">
        <v>78</v>
      </c>
      <c r="Z108" s="3" t="s">
        <v>182</v>
      </c>
      <c r="AA108" s="2" t="str">
        <f>VLOOKUP(C108,Лист1!$B$1:$N$92,10,0)</f>
        <v>ЕАЭС N RU Д-CN.КА01.В.27192/20</v>
      </c>
      <c r="AB108" s="2">
        <f>VLOOKUP(C108,Лист1!$B$1:$N$92,11,0)</f>
        <v>43984</v>
      </c>
      <c r="AC108" s="2">
        <f>VLOOKUP(C108,Лист1!$B$1:$N$92,12,0)</f>
        <v>43984</v>
      </c>
      <c r="AD108" s="2">
        <f>VLOOKUP(C108,Лист1!$B$1:$N$92,13,0)</f>
        <v>45809</v>
      </c>
      <c r="AE108" t="s">
        <v>10</v>
      </c>
      <c r="AF108" t="s">
        <v>216</v>
      </c>
      <c r="AG108" t="s">
        <v>224</v>
      </c>
      <c r="AH108" t="str">
        <f>VLOOKUP(C108,Лист1!$B$3:$P$289,15,0)</f>
        <v xml:space="preserve">SYM3000A - серия гигабитных управляемых коммутаторов на DIN-рейку, разработанных для систем передачи данных в энергетике, на транспорте, в горнодобывающей промышленности и др. Коммутатор имеет до 12 гигабитных SFP разъемов и до 16 гигабитных RJ45 портов. Прочный корпус без вентилятора с гофрированной поверхностью, способность работать в широком температурном диапазоне позволяет оборудованию стабильно работать в экстремальных промышленных условиях. В данном устройстве реализована поддержка протокола синхронизации точного времени IEEE1588 PTPv2 с точностью синхронизации 100нс.
Характеристики
Порты
10/100/1000Base-TX Ethernet RJ45
8 шт.
Системная производительность
Стандарты: 
IEEE802.3i, IEEE802.3u, IEEE802.3ab, IEEE802.3z, IEEE 802.3ad, IEEE 802.1d, IEEE 802.1w, IEEE802.3x, IEEE802.1p, IEEE802.1Q, IEEE802.1s, IEEE 802.1x, IEEE 802.1ab, IEEE1588 V2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Вход питания 220 Вольт постоянного тока и 220 переменного тока (85-264VAC/77-300VDC)
До 10 Вт
Механические характеристики
Размеры
88х135х137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v>
      </c>
    </row>
    <row r="109" spans="1:34" ht="46.5" hidden="1" customHeight="1" x14ac:dyDescent="0.25">
      <c r="A109" s="2">
        <v>44705</v>
      </c>
      <c r="B109">
        <f>VLOOKUP(C109,Лист1!$B$1:$N$67,2,0)</f>
        <v>8517620003</v>
      </c>
      <c r="C109" t="s">
        <v>137</v>
      </c>
      <c r="D109" s="5" t="str">
        <f>VLOOKUP(C109,Лист1!$B$2:$T$292,14,0)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109">
        <v>4</v>
      </c>
      <c r="F109" s="19">
        <v>515</v>
      </c>
      <c r="G109" s="19">
        <f t="shared" si="8"/>
        <v>2060</v>
      </c>
      <c r="H109" t="str">
        <f>VLOOKUP(C109,Лист1!$B$1:$N$67,4,0)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109" t="s">
        <v>15</v>
      </c>
      <c r="J109" t="s">
        <v>18</v>
      </c>
      <c r="K109">
        <v>156</v>
      </c>
      <c r="L109" t="s">
        <v>10</v>
      </c>
      <c r="M109" t="s">
        <v>19</v>
      </c>
      <c r="N109" t="s">
        <v>13</v>
      </c>
      <c r="O109" t="s">
        <v>82</v>
      </c>
      <c r="P109">
        <v>10052</v>
      </c>
      <c r="Q109" t="str">
        <f>VLOOKUP(C109,Лист1!$B$1:$N$142,5,0)</f>
        <v>RU0000051996</v>
      </c>
      <c r="R109" s="4">
        <f>VLOOKUP(C109,Лист1!$B$1:$N$142,6,0)</f>
        <v>44284</v>
      </c>
      <c r="S109" s="4">
        <f>VLOOKUP(C109,Лист1!$B$1:$N$142,7,0)</f>
        <v>44284</v>
      </c>
      <c r="T109" s="4">
        <f>VLOOKUP(C109,Лист1!$B$1:$N$142,8,0)</f>
        <v>47848</v>
      </c>
      <c r="U109" s="10">
        <f>VLOOKUP(C109,Лист1!$B$1:$N$142,9,0)</f>
        <v>1.25</v>
      </c>
      <c r="V109" s="10">
        <f t="shared" si="7"/>
        <v>5</v>
      </c>
      <c r="W109">
        <v>6</v>
      </c>
      <c r="X109" s="1">
        <f t="shared" si="16"/>
        <v>7.1400000000000006</v>
      </c>
      <c r="Y109" s="1" t="s">
        <v>78</v>
      </c>
      <c r="Z109" s="3" t="s">
        <v>182</v>
      </c>
      <c r="AA109" s="2" t="str">
        <f>VLOOKUP(C109,Лист1!$B$1:$N$92,10,0)</f>
        <v>ЕАЭС N RU Д-CN.РА01.В.32748/21</v>
      </c>
      <c r="AB109" s="2">
        <f>VLOOKUP(C109,Лист1!$B$1:$N$92,11,0)</f>
        <v>44309</v>
      </c>
      <c r="AC109" s="2">
        <f>VLOOKUP(C109,Лист1!$B$1:$N$92,12,0)</f>
        <v>44309</v>
      </c>
      <c r="AD109" s="2">
        <f>VLOOKUP(C109,Лист1!$B$1:$N$92,13,0)</f>
        <v>46134</v>
      </c>
      <c r="AE109" t="s">
        <v>10</v>
      </c>
      <c r="AF109" t="s">
        <v>216</v>
      </c>
      <c r="AG109" t="s">
        <v>224</v>
      </c>
      <c r="AH109" t="str">
        <f>VLOOKUP(C109,Лист1!$B$3:$P$289,15,0)</f>
        <v xml:space="preserve">RubySYM3A-3G-L2-L2 -УСТРОЙСТВО RUBY3A ОТ КОМПАНИИ KYLAND ПОДДЕРЖИВАЕТ ОДНОВРЕМЕННО ПРОТОКОЛЫ РЕЗЕРВИРОВАНИЯ HIGH AVAILABILITY SEAMLESS REDUNDANCY (HSR) И PARALLEL REDUNDANCY PROTOCOL (PRP). RUBY3ОБЕСПЕЧИВАЕТ БЕСПЕРЕБОЙНУЮ РАБОТУ ПРИ ЛЮБОМ ВОЗМОЖНОМ СБОЕ В СЕТИ. ЭТО ДОСТИГАЕТСЯ ОДНОВРЕМЕННОЙ ДУБЛИРОВАННОЙ ПЕРЕДАЧЕЙ ДАННЫХ ПО НЕЗАВИСИМЫМ МАРШРУТАМ ДЛЯ ОБЕСПЕЧЕНИЯ РЕЗЕРВИРОВАНИЯ НА УРОВНЕ КАНАЛОВ.  
Характеристики
•	Пароли – Многоуровневые пароли для защиты от неавторизованного доступа
•	SSH / SSL – Расширение парольной защиты, добавляющая 128-битное шифрование данных при передаче по сети
•	Защита MAC адресов – Возможность защищать порты так, чтобы доступ был только у устройств с авторизованными MAC адресами
•	RADIUS – Централизованная аутентификация с использованием хэш-функции MD5
•	SNMPv3 – Шифрование аутентификационной информации, передаваемой по сети (CBC-DES с ключом 56 бит)
•	SSL – Веб-управление с использованием шифрования (128 битный ключ)
•	Защита от ЭМИ и скачков напряжений
o	IEC 62439-3 PRP
o	IEEE 1613 (работа на электроподстанциях)
o	IEC 61850-3 (работа на электроподстанциях)
•	Рабочая температура: от –40°C до +85°C
•	Нет движущихся частей
•	Веб, Telnet, CLI
•	SNMP v1/v2/v3 (56-бит шифрование)
•	Удалённый мониторинг (RMON)
•	Широкий набор функций диагностики и протоколирования
•	Поддержка IEC 62439 MIB
•	Потребляемое напряжение: 24-48VDC (18-72Вольт постоянного тока)
•	Клеммная колодка для надёжных и удобных подключений кабелей
•	Размеры(ДхВхШ): 66*135*107.5 мм 
</v>
      </c>
    </row>
    <row r="110" spans="1:34" ht="63" hidden="1" customHeight="1" x14ac:dyDescent="0.25">
      <c r="A110" s="2">
        <v>44705</v>
      </c>
      <c r="B110">
        <f>VLOOKUP(C110,Лист1!$B$1:$N$67,2,0)</f>
        <v>8517620003</v>
      </c>
      <c r="C110" t="s">
        <v>208</v>
      </c>
      <c r="D110" s="5" t="str">
        <f>VLOOKUP(C110,Лист1!$B$2:$T$292,14,0)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110">
        <v>3</v>
      </c>
      <c r="F110" s="19">
        <v>320</v>
      </c>
      <c r="G110" s="19">
        <f t="shared" si="8"/>
        <v>960</v>
      </c>
      <c r="H110" t="str">
        <f>VLOOKUP(C110,Лист1!$B$1:$N$67,4,0)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110" t="s">
        <v>15</v>
      </c>
      <c r="J110" t="s">
        <v>18</v>
      </c>
      <c r="K110">
        <v>156</v>
      </c>
      <c r="L110" t="s">
        <v>10</v>
      </c>
      <c r="M110" t="s">
        <v>19</v>
      </c>
      <c r="N110" t="s">
        <v>13</v>
      </c>
      <c r="O110" t="s">
        <v>82</v>
      </c>
      <c r="P110">
        <v>10052</v>
      </c>
      <c r="Q110" t="str">
        <f>VLOOKUP(C110,Лист1!$B$1:$N$142,5,0)</f>
        <v>RU0000055090</v>
      </c>
      <c r="R110" s="4">
        <f>VLOOKUP(C110,Лист1!$B$1:$N$142,6,0)</f>
        <v>44543</v>
      </c>
      <c r="S110" s="4">
        <f>VLOOKUP(C110,Лист1!$B$1:$N$142,7,0)</f>
        <v>44543</v>
      </c>
      <c r="T110" s="4">
        <f>VLOOKUP(C110,Лист1!$B$1:$N$142,8,0)</f>
        <v>48213</v>
      </c>
      <c r="U110" s="10">
        <f>VLOOKUP(C110,Лист1!$B$1:$N$142,9,0)</f>
        <v>0.84</v>
      </c>
      <c r="V110" s="10">
        <f t="shared" si="7"/>
        <v>2.52</v>
      </c>
      <c r="W110">
        <v>4.5</v>
      </c>
      <c r="X110" s="1">
        <f t="shared" si="16"/>
        <v>5.3550000000000004</v>
      </c>
      <c r="Y110" s="1" t="s">
        <v>78</v>
      </c>
      <c r="Z110" s="3" t="s">
        <v>182</v>
      </c>
      <c r="AA110" s="2" t="str">
        <f>VLOOKUP(C110,Лист1!$B$1:$N$92,10,0)</f>
        <v>ЕАЭС N RU Д-CN.РА03.В.59715/21</v>
      </c>
      <c r="AB110" s="2">
        <f>VLOOKUP(C110,Лист1!$B$1:$N$92,11,0)</f>
        <v>44547</v>
      </c>
      <c r="AC110" s="2">
        <f>VLOOKUP(C110,Лист1!$B$1:$N$92,12,0)</f>
        <v>44547</v>
      </c>
      <c r="AD110" s="2">
        <f>VLOOKUP(C110,Лист1!$B$1:$N$92,13,0)</f>
        <v>46371</v>
      </c>
      <c r="AE110" t="s">
        <v>10</v>
      </c>
      <c r="AF110" t="s">
        <v>216</v>
      </c>
      <c r="AG110" t="s">
        <v>224</v>
      </c>
      <c r="AH110" t="str">
        <f>VLOOKUP(C110,Лист1!$B$3:$P$289,15,0)</f>
        <v xml:space="preserve">SYM3000A-LITE-2S6T-SC40-L3-L3 - промышленные коммутаторы с пониженным потреблением питания, которые могут применяться в ветроэнергетике, распределительных сетях, подстанциях, энергетических SCADA-системах, системах водоочистки, на автомагистралях, в металлургии и других сферах.
Характеристики
Порты
10/100Base-TX 
6 
100Base-FX (одномод, 1310, SC) 
2 
Системная производительность
Стандарты: 
IEEE 802.3i, IEEE 802.3u, IEEE 802.3ac, IEEE802.3ad, IEEE 802.3z, IEEE 802.3x, IEEE 802.1p, IEEE 802.1Q, IEEE 802.1s, IEEE 802.1X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Двойной вход питания 24 Вольт постоянного тока 
До 7 Вт
Механические характеристики
Размеры
53.6 x 135 x 106.5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v>
      </c>
    </row>
    <row r="111" spans="1:34" ht="68.25" hidden="1" customHeight="1" x14ac:dyDescent="0.25">
      <c r="A111" s="28">
        <v>44736</v>
      </c>
      <c r="B111">
        <f>VLOOKUP(C111,Лист1!$B$1:$N$67,2,0)</f>
        <v>8517620003</v>
      </c>
      <c r="C111" t="s">
        <v>217</v>
      </c>
      <c r="D111" s="5" t="str">
        <f>VLOOKUP(C111,Лист1!$B$2:$T$292,14,0)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111">
        <v>2</v>
      </c>
      <c r="F111" s="19">
        <v>215</v>
      </c>
      <c r="G111" s="19">
        <f t="shared" si="8"/>
        <v>430</v>
      </c>
      <c r="H111" t="str">
        <f>VLOOKUP(C111,Лист1!$B$1:$N$67,4,0)</f>
        <v xml:space="preserve">SYM3000A-LITE-8T-L3-L3 - промышленные коммутаторы с пониженным потреблением питания, которые могут применяться в ветроэнергетике, распределительных сетях, подстанциях, энергетических SCADA-системах, системах водоочистки, на автомагистралях, в металлургии и других сферах.
Характеристики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Двойной вход питания 24 Вольт постоянного тока 
До 7 Вт
Механические характеристики
Размеры
53.6 x 135 x 106.5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v>
      </c>
      <c r="I111" t="s">
        <v>15</v>
      </c>
      <c r="J111" t="s">
        <v>18</v>
      </c>
      <c r="K111">
        <v>156</v>
      </c>
      <c r="L111" t="s">
        <v>10</v>
      </c>
      <c r="M111" t="s">
        <v>19</v>
      </c>
      <c r="N111" t="s">
        <v>13</v>
      </c>
      <c r="O111" t="s">
        <v>82</v>
      </c>
      <c r="P111">
        <v>10052</v>
      </c>
      <c r="Q111" t="str">
        <f>VLOOKUP(C111,Лист1!$B$1:$N$142,5,0)</f>
        <v>RU0000055090</v>
      </c>
      <c r="R111" s="4">
        <f>VLOOKUP(C111,Лист1!$B$1:$N$142,6,0)</f>
        <v>44543</v>
      </c>
      <c r="S111" s="4">
        <f>VLOOKUP(C111,Лист1!$B$1:$N$142,7,0)</f>
        <v>44543</v>
      </c>
      <c r="T111" s="4">
        <f>VLOOKUP(C111,Лист1!$B$1:$N$142,8,0)</f>
        <v>48213</v>
      </c>
      <c r="U111" s="10">
        <f>VLOOKUP(C111,Лист1!$B$1:$N$142,9,0)</f>
        <v>0.84</v>
      </c>
      <c r="V111" s="10">
        <f t="shared" ref="V111:V173" si="17">U111*E111</f>
        <v>1.68</v>
      </c>
      <c r="W111">
        <v>3</v>
      </c>
      <c r="X111" s="1">
        <f>W111+W111*0.165</f>
        <v>3.4950000000000001</v>
      </c>
      <c r="Y111" s="1" t="s">
        <v>78</v>
      </c>
      <c r="Z111" s="3" t="s">
        <v>182</v>
      </c>
      <c r="AA111" s="2" t="str">
        <f>VLOOKUP(C111,Лист1!$B$1:$N$92,10,0)</f>
        <v>ЕАЭС N RU Д-CN.РА03.В.59715/21</v>
      </c>
      <c r="AB111" s="2">
        <f>VLOOKUP(C111,Лист1!$B$1:$N$92,11,0)</f>
        <v>44547</v>
      </c>
      <c r="AC111" s="2">
        <f>VLOOKUP(C111,Лист1!$B$1:$N$92,12,0)</f>
        <v>44547</v>
      </c>
      <c r="AD111" s="2">
        <f>VLOOKUP(C111,Лист1!$B$1:$N$92,13,0)</f>
        <v>46371</v>
      </c>
      <c r="AE111" t="s">
        <v>10</v>
      </c>
      <c r="AF111" t="s">
        <v>219</v>
      </c>
      <c r="AG111" t="s">
        <v>224</v>
      </c>
      <c r="AH111" t="str">
        <f>VLOOKUP(C111,Лист1!$B$3:$P$289,15,0)</f>
        <v xml:space="preserve">SYM3000A-LITE-8T-L3-L3 - промышленные коммутаторы с пониженным потреблением питания, которые могут применяться в ветроэнергетике, распределительных сетях, подстанциях, энергетических SCADA-системах, системах водоочистки, на автомагистралях, в металлургии и других сферах.
Характеристики
Порты
10/100Base-TX 
8
Системная производительность
Стандарты: 
IEEE 802.3i, IEEE 802.3u, IEEE 802.3ac, IEEE802.3ad, IEEE 802.3z, IEEE 802.3x, IEEE 802.1p, IEEE 802.1Q, IEEE 802.1s, IEEE 802.1X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Двойной вход питания 24 Вольт постоянного тока 
До 7 Вт
Механические характеристики
Размеры
53.6 x 135 x 106.5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v>
      </c>
    </row>
    <row r="112" spans="1:34" ht="36" hidden="1" customHeight="1" x14ac:dyDescent="0.25">
      <c r="A112" s="28">
        <v>44736</v>
      </c>
      <c r="B112">
        <f>VLOOKUP(C112,Лист1!$B$1:$N$67,2,0)</f>
        <v>8517620003</v>
      </c>
      <c r="C112" t="s">
        <v>203</v>
      </c>
      <c r="D112" s="5" t="str">
        <f>VLOOKUP(C112,Лист1!$B$2:$T$292,14,0)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112">
        <v>39</v>
      </c>
      <c r="F112" s="19">
        <v>495</v>
      </c>
      <c r="G112" s="19">
        <f t="shared" si="8"/>
        <v>19305</v>
      </c>
      <c r="H112" t="str">
        <f>VLOOKUP(C112,Лист1!$B$1:$N$67,4,0)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112" t="s">
        <v>15</v>
      </c>
      <c r="J112" t="s">
        <v>18</v>
      </c>
      <c r="K112">
        <v>156</v>
      </c>
      <c r="L112" t="s">
        <v>10</v>
      </c>
      <c r="M112" t="s">
        <v>19</v>
      </c>
      <c r="N112" t="s">
        <v>13</v>
      </c>
      <c r="O112" t="s">
        <v>82</v>
      </c>
      <c r="P112">
        <v>10052</v>
      </c>
      <c r="Q112" t="str">
        <f>VLOOKUP(C112,Лист1!$B$1:$N$142,5,0)</f>
        <v>RU0000049918</v>
      </c>
      <c r="R112" s="4">
        <f>VLOOKUP(C112,Лист1!$B$1:$N$142,6,0)</f>
        <v>44099</v>
      </c>
      <c r="S112" s="4">
        <f>VLOOKUP(C112,Лист1!$B$1:$N$142,7,0)</f>
        <v>44099</v>
      </c>
      <c r="T112" s="4">
        <f>VLOOKUP(C112,Лист1!$B$1:$N$142,8,0)</f>
        <v>47848</v>
      </c>
      <c r="U112" s="10">
        <f>VLOOKUP(C112,Лист1!$B$1:$N$142,9,0)</f>
        <v>1.5</v>
      </c>
      <c r="V112" s="10">
        <f t="shared" si="17"/>
        <v>58.5</v>
      </c>
      <c r="W112">
        <v>58.5</v>
      </c>
      <c r="X112" s="1">
        <v>68.5</v>
      </c>
      <c r="Y112" s="1" t="s">
        <v>78</v>
      </c>
      <c r="Z112" s="3" t="s">
        <v>182</v>
      </c>
      <c r="AA112" s="2" t="str">
        <f>VLOOKUP(C112,Лист1!$B$1:$N$92,10,0)</f>
        <v>ЕАЭС N RU Д-CN.РА01.В.65848/21</v>
      </c>
      <c r="AB112" s="2">
        <f>VLOOKUP(C112,Лист1!$B$1:$N$92,11,0)</f>
        <v>44330</v>
      </c>
      <c r="AC112" s="2">
        <f>VLOOKUP(C112,Лист1!$B$1:$N$92,12,0)</f>
        <v>44330</v>
      </c>
      <c r="AD112" s="2">
        <f>VLOOKUP(C112,Лист1!$B$1:$N$92,13,0)</f>
        <v>46154</v>
      </c>
      <c r="AE112" t="s">
        <v>10</v>
      </c>
      <c r="AF112" t="s">
        <v>219</v>
      </c>
      <c r="AG112" t="s">
        <v>224</v>
      </c>
      <c r="AH112" t="str">
        <f>VLOOKUP(C112,Лист1!$B$3:$P$289,15,0)</f>
        <v>SYM6000A-4GX8GE-L2-L2 - промышленные коммутаторы с пониженным потреблением питания, которые могут применяться в ветроэнергетике, распределительных сетях, подстанциях, энергетических SCADA-системах, системах водоочистки, на автомагистралях, в металлургии и других сферах.
Коммутаторы могут крепиться на DIN-рейку или панель. Устройства соответствуют IEC61850-3. Диапазон рабочих температур коммутаторов SYM6000A-4GX8GE-L2-L2 от -40° до +85°. Оптические порты коммутатора способны передавать данные на расстояния до 80 км.
В SFP-порты коммутатора можно установить специальные модули, которые могут поддерживать как оптические соединения (одномод или многомод), так и медные.
Характеристики
Порты
Гигабитные SFP
4
10/100/1000Base-TX
8
Системная производительность
Стандарты:
IEEE 802.3i, IEEE 802.3u, IEEE 802.3ab, IEEE 802.3z, IEEE 802.3x, IEEE 802.1p, IEEE 802.1Q, IEEE 802.1s
Протоколы
DT-Ring, DT-Ring+, DT-VLAN, MSTP; 
IGMP Snooping, GMRP;
VLAN, PVLAN; 
Telnet, HTTP, HTTPS, SNMPv1/v2/v3, RMON, LLDP, SNTP, DHCP server; 
DT-Psec, SSH, SSL, ACL;
ARP, QoS
Пропускная способность устройства
52 Гбит/с
Питание
Напряжение питания
24VDC (18-36Вольт постоянного тока)
Потребляемая мощность
менее 18 Вт
Механические характеристики
Размеры
88 х 135 х 137 мм
Крепление
DIN-рейка или панель
Класс защиты
IP40
Рабочая температура
от -40 до +85С
Температура хранения
-40 до +85C
Влажность
от 5 до 95% (без конденсата)
MTBF
323350 часов
Гарантия
5 лет</v>
      </c>
    </row>
    <row r="113" spans="1:34" ht="20.25" hidden="1" customHeight="1" x14ac:dyDescent="0.25">
      <c r="A113" s="2">
        <v>44753</v>
      </c>
      <c r="B113">
        <f>VLOOKUP(C113,Лист1!$B$1:$N$67,2,0)</f>
        <v>8517620002</v>
      </c>
      <c r="C113" s="27" t="s">
        <v>49</v>
      </c>
      <c r="D113" s="5" t="str">
        <f>VLOOKUP(C113,Лист1!$B$2:$T$292,14,0)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113">
        <v>2</v>
      </c>
      <c r="F113" s="19">
        <v>1708.4</v>
      </c>
      <c r="G113" s="19">
        <f t="shared" si="8"/>
        <v>3416.8</v>
      </c>
      <c r="H113" t="str">
        <f>VLOOKUP(C113,Лист1!$B$1:$N$67,4,0)</f>
        <v xml:space="preserve">SICOM3028GPT-L2F-MB-HV-HV-S - промышленные коммутаторы с широким спектром сфер применния и модульным дизайном для простоты масштабирования и расширения функционала устройства. 
Характеристики
Протоколы 
DT-Ring, DT-Ring+, MSTP, DRP; IGMP Snooping, GMRP;
VLAN, GVRP, PVLAN;
Telnet, HTTP, HTTPS, SNMPv1/v2/v3, RMON, LLDP, Bootp, DHCP server/relay/client, DHCP Option 82;
SNTP, PTP, RTC;
SSH, SSL, TACACS+, RADIUS, ACL; 
ARP, Modbus TCP, QoS, LACP
PRP, HSR 
Длина волны 
1310нм (одномод), 1550нм (одномод), 1310 (многомод) 
Расстояние передачи 
10~80км (одномод) , до 5 км (100M многомод) , до 2 км (1000M многомод) 
Тип коннектора 
SC, ST, FC 
Питание
Напряжение питания 
Резервированное: 220VAC/VDC (77-300VDC/85-264VAC) 
Потребляемая мощность 
менее 28 Вт (при установке только медных модулей)
менее 42 Вт (при установке только оптических модулей) 
Механические характеристики
Размеры
482.6мм x 44мм x 360мм
Крепление 
19” стойка 
Класс защиты 
IP40 
Рабочая температура 
от -40 до +85С 
Температура хранения 
-40 до +85C 
Влажность 
от 5 до 95% (без конденсата) 
MTBF 
359000 часов 
Гарантия 
5 лет </v>
      </c>
      <c r="I113" t="s">
        <v>15</v>
      </c>
      <c r="J113" t="s">
        <v>18</v>
      </c>
      <c r="K113">
        <v>156</v>
      </c>
      <c r="L113" t="s">
        <v>10</v>
      </c>
      <c r="M113" t="s">
        <v>19</v>
      </c>
      <c r="N113" t="s">
        <v>13</v>
      </c>
      <c r="O113" t="s">
        <v>82</v>
      </c>
      <c r="P113">
        <v>10052</v>
      </c>
      <c r="Q113" t="str">
        <f>VLOOKUP(C113,Лист1!$B$1:$N$142,5,0)</f>
        <v>RU0000053245</v>
      </c>
      <c r="R113" s="4">
        <f>VLOOKUP(C113,Лист1!$B$1:$N$142,6,0)</f>
        <v>44383</v>
      </c>
      <c r="S113" s="4">
        <f>VLOOKUP(C113,Лист1!$B$1:$N$142,7,0)</f>
        <v>44383</v>
      </c>
      <c r="T113" s="4">
        <f>VLOOKUP(C113,Лист1!$B$1:$N$142,8,0)</f>
        <v>48213</v>
      </c>
      <c r="U113" s="10">
        <f>VLOOKUP(C113,Лист1!$B$1:$N$142,9,0)</f>
        <v>10</v>
      </c>
      <c r="V113" s="10">
        <v>19</v>
      </c>
      <c r="W113">
        <v>19</v>
      </c>
      <c r="X113" s="1">
        <v>21</v>
      </c>
      <c r="Y113" s="1" t="s">
        <v>78</v>
      </c>
      <c r="Z113" s="3" t="s">
        <v>182</v>
      </c>
      <c r="AA113" s="2" t="str">
        <f>VLOOKUP(C113,Лист1!$B$1:$N$92,10,0)</f>
        <v>ЕАЭС N RU Д-CN.КА01.В.23216/20</v>
      </c>
      <c r="AB113" s="2">
        <f>VLOOKUP(C113,Лист1!$B$1:$N$92,11,0)</f>
        <v>43908</v>
      </c>
      <c r="AC113" s="2">
        <f>VLOOKUP(C113,Лист1!$B$1:$N$92,12,0)</f>
        <v>43908</v>
      </c>
      <c r="AD113" s="2">
        <f>VLOOKUP(C113,Лист1!$B$1:$N$92,13,0)</f>
        <v>45733</v>
      </c>
      <c r="AE113" t="s">
        <v>10</v>
      </c>
      <c r="AF113" t="s">
        <v>226</v>
      </c>
      <c r="AG113" t="s">
        <v>224</v>
      </c>
      <c r="AH113" t="str">
        <f>VLOOKUP(C113,Лист1!$B$3:$P$289,15,0)</f>
        <v xml:space="preserve">SICOM3028GPT-L2F-MB-HV-HV-S - промышленные коммутаторы с широким спектром сфер применния и модульным дизайном для простоты масштабирования и расширения функционала устройства. 
Характеристики
Порты
Медные или оптические порты 100 Мбит/с 
до 24 
Медные или оптические гигабитные порты 
до 4 
Системная производительность
Стандарты: 
IEEE802.3i, IEEE802.3u, IEEE802.3ab, IEEE802.3ac, IEEE802.3ad, IEEE802.3z, IEEE802.3x, IEEE802.1p, IEEE802.1Q, IEEE802.1s, IEEE802.1X, IEC62439-6, 
IEC 61850-8-1 GOOSE сообщения 
Протоколы 
DT-Ring, DT-Ring+, MSTP, DRP; IGMP Snooping, GMRP;
VLAN, GVRP, PVLAN;
Telnet, HTTP, HTTPS, SNMPv1/v2/v3, RMON, LLDP, Bootp, DHCP server/relay/client, DHCP Option 82;
SNTP, PTP, RTC;
SSH, SSL, TACACS+, RADIUS, ACL; 
ARP, Modbus TCP, QoS, LACP
PRP, HSR 
Пропускная способность устройства 
9.5 Mpps 
Параметры оптических портов
Длина волны 
1310нм (одномод), 1550нм (одномод), 1310 (многомод) 
Расстояние передачи 
10~80км (одномод) , до 5 км (100M многомод) , до 2 км (1000M многомод) 
Тип коннектора 
SC, ST, FC 
Питание
Напряжение питания 
Резервированное: 220VAC/VDC (77-300VDC/85-264VAC) 
Потребляемая мощность 
менее 28 Вт (при установке только медных модулей)
менее 42 Вт (при установке только оптических модулей) 
Механические характеристики
Размеры
482.6мм x 44мм x 360мм
Крепление 
19” стойка 
Класс защиты 
IP40 
Рабочая температура 
от -40 до +85С 
Температура хранения 
-40 до +85C 
Влажность 
от 5 до 95% (без конденсата) 
MTBF 
359000 часов 
Гарантия 
5 лет </v>
      </c>
    </row>
    <row r="114" spans="1:34" ht="20.25" hidden="1" customHeight="1" x14ac:dyDescent="0.25">
      <c r="A114" s="2">
        <v>44753</v>
      </c>
      <c r="B114">
        <f>VLOOKUP(C114,Лист1!$B$1:$N$67,2,0)</f>
        <v>8517620003</v>
      </c>
      <c r="C114" s="27" t="s">
        <v>134</v>
      </c>
      <c r="D114" s="5" t="str">
        <f>VLOOKUP(C114,Лист1!$B$2:$T$292,14,0)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114">
        <v>2</v>
      </c>
      <c r="F114" s="19">
        <v>604</v>
      </c>
      <c r="G114" s="19">
        <f t="shared" ref="G114" si="18">F114*E114</f>
        <v>1208</v>
      </c>
      <c r="H114" t="str">
        <f>VLOOKUP(C114,Лист1!$B$1:$N$67,4,0)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114" t="s">
        <v>15</v>
      </c>
      <c r="J114" t="s">
        <v>18</v>
      </c>
      <c r="K114">
        <v>156</v>
      </c>
      <c r="L114" t="s">
        <v>10</v>
      </c>
      <c r="M114" t="s">
        <v>19</v>
      </c>
      <c r="N114" t="s">
        <v>13</v>
      </c>
      <c r="O114" t="s">
        <v>82</v>
      </c>
      <c r="P114">
        <v>10052</v>
      </c>
      <c r="Q114" t="str">
        <f>VLOOKUP(C114,Лист1!$B$1:$N$142,5,0)</f>
        <v>RU0000049917</v>
      </c>
      <c r="R114" s="4">
        <f>VLOOKUP(C114,Лист1!$B$1:$N$142,6,0)</f>
        <v>44099</v>
      </c>
      <c r="S114" s="4">
        <f>VLOOKUP(C114,Лист1!$B$1:$N$142,7,0)</f>
        <v>44099</v>
      </c>
      <c r="T114" s="4">
        <f>VLOOKUP(C114,Лист1!$B$1:$N$142,8,0)</f>
        <v>47848</v>
      </c>
      <c r="U114" s="10">
        <f>VLOOKUP(C114,Лист1!$B$1:$N$142,9,0)</f>
        <v>1.5</v>
      </c>
      <c r="V114" s="10">
        <f t="shared" ref="V114" si="19">U114*E114</f>
        <v>3</v>
      </c>
      <c r="W114">
        <v>3</v>
      </c>
      <c r="X114" s="1">
        <v>3</v>
      </c>
      <c r="Y114" s="1" t="s">
        <v>78</v>
      </c>
      <c r="Z114" s="3" t="s">
        <v>210</v>
      </c>
      <c r="AA114" s="2" t="str">
        <f>VLOOKUP(C114,Лист1!$B$1:$N$92,10,0)</f>
        <v>ЕАЭС N RU Д-CN.РА01.В.32748/21</v>
      </c>
      <c r="AB114" s="2">
        <f>VLOOKUP(C114,Лист1!$B$1:$N$92,11,0)</f>
        <v>44309</v>
      </c>
      <c r="AC114" s="2">
        <f>VLOOKUP(C114,Лист1!$B$1:$N$92,12,0)</f>
        <v>44309</v>
      </c>
      <c r="AD114" s="2">
        <f>VLOOKUP(C114,Лист1!$B$1:$N$92,13,0)</f>
        <v>46134</v>
      </c>
      <c r="AE114" t="s">
        <v>10</v>
      </c>
      <c r="AF114" t="s">
        <v>226</v>
      </c>
      <c r="AG114" t="s">
        <v>224</v>
      </c>
      <c r="AH114" t="str">
        <f>VLOOKUP(C114,Лист1!$B$3:$P$289,15,0)</f>
        <v xml:space="preserve">SYM3000A-4GX16T-L2-L2   - серия гигабитных управляемых коммутаторов SYM3000A на DIN-рейку, разработанных для систем передачи данных в энергетике, на транспорте, в горнодобывающей промышленности и др. Коммутатор имеет до 12 гигабитных SFP разъемов и до 16 гигабитных RJ45 портов. Прочный корпус без вентилятора с гофрированной поверхностью, способность работать в широком температурном диапазоне позволяет оборудованию стабильно работать в экстремальных промышленных условиях. В данном устройстве реализована поддержка протокола синхронизации точного времени IEEE1588 PTPv2 с точностью синхронизации 100нс.
Характеристики
Порты
10/100Base-TX Ethernet RJ45
16 шт.
100/1000Base-X Ethernet SFP
4 шт.
Системная производительность
Стандарты: 
IEEE802.3i, IEEE802.3u, IEEE802.3ab, IEEE802.3z, IEEE 802.3ad, IEEE 802.1d, IEEE 802.1w, IEEE802.3x, IEEE802.1p, IEEE802.1Q, IEEE802.1s, IEEE 802.1x, IEEE 802.1ab, IEEE1588 V2 
Протоколы 
DT-Ring, DT-Ring+, DT-VLAN, DRP, MSTP; 
IGMP Snooping, GMRP; 
VLAN, GVRP, PVLAN;
Telnet, HTTP, HTTPS, SNMPv1/v2/v3, RMON, LLDP, SNTP, BootP, DHCP server/relay/client, DHCP Option 82; SSH, SSL, TACACS+, ACL; 
Syslog, FTP, TFTP; 
LACP, ARP, QoS, Modbus TCP 
Пропускная способность устройства 
5.3 Mpps 
Питание
Напряжение питания 
Двойной вход питания 24 Вольт постоянного тока (18-72VDC)
До 10 Вт
Механические характеристики
Размеры
102х135х137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v>
      </c>
    </row>
    <row r="115" spans="1:34" ht="20.25" hidden="1" customHeight="1" x14ac:dyDescent="0.25">
      <c r="A115" s="2">
        <v>44753</v>
      </c>
      <c r="B115">
        <f>VLOOKUP(C115,Лист1!$B$1:$N$67,2,0)</f>
        <v>8517620002</v>
      </c>
      <c r="C115" t="s">
        <v>114</v>
      </c>
      <c r="D115" s="5" t="str">
        <f>VLOOKUP(C115,Лист1!$B$2:$T$292,14,0)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115">
        <v>4</v>
      </c>
      <c r="F115" s="19">
        <v>1788.32</v>
      </c>
      <c r="G115" s="19">
        <f t="shared" ref="G115:G176" si="20">F115*E115</f>
        <v>7153.28</v>
      </c>
      <c r="H115" t="str">
        <f>VLOOKUP(C115,Лист1!$B$1:$N$67,4,0)</f>
        <v xml:space="preserve">SICOM3028GPT-L2GT-MB-HV-HV-S - промышленные коммутаторы с широким спектром сфер применния и модульным дизайном для простоты масштабирования и расширения функционала устройства. Модели SICOM3028GPT-L2GT могут иметь до 28 гигабитных портов, а модели SICOM3028GPT-L2GT-MB-HV-HV-S до 24 портов 100 Мбит/с и до 4 гигабитных портов.. Устройства оборудованы PTP-картой для поддержки синхронизации времени (IEEE1588v2) на всех 28 портах устройства.
Коммутаторы крепятся в 19-дюймовую стойку (занимают 1U), крепятся передней или задней панелью. Устройства соответствуют IEC61850-3 и IEEE1613 для электроподстанций, имеют консольный Mini USB порт, соответствуют IEC62439-6, поддерживаюют VCT (Virtual Cable Test). Диапазон рабочих температур коммутаторов SICOM3028GPT-L2GT от -40° до +85°.
Протоколы
DT-Ring, DT-Ring+, MSTP, DRP; IGMP Snooping, GMRP;
VLAN, GVRP, PVLAN;
Telnet, HTTP, HTTPS, SNMPv1/v2/v3, RMON, LLDP, Bootp, DHCP server/relay/client, DHCP Option 82;
SNTP, PTP, RTC;
SSH, SSL, TACACS+, RADIUS, ACL; Syslog;
ARP, Modbus TCP, QoS, LACP
PRP, HSR
Длина волны
1310нм (одномод), 1550нм (одномод), 1310 (многомод)
Расстояние передачи
10~80км (одномод) , до 5 км (100M многомод) , до 2 км (1000M многомод)
Тип коннектора
Питание
Напряжение питания
Резервированное: 220Вольт переменного напряжения/Вольт постоянного напряжения (77-300VDC/85-264VAC)
Потребляемая мощность
До 42 Вт
Механические характеристики
Размеры
482.6мм x 44мм x 360мм
Крепление
19” стойка
Класс защиты
IP40
Рабочая температура
от -40 до +85С
Температура хранения
-40 до +85C
Влажность
от 5 до 95% (без конденсата)
MTBF
359000 часов
Гарантия
5 лет
</v>
      </c>
      <c r="I115" t="s">
        <v>15</v>
      </c>
      <c r="J115" t="s">
        <v>18</v>
      </c>
      <c r="K115">
        <v>156</v>
      </c>
      <c r="L115" t="s">
        <v>10</v>
      </c>
      <c r="M115" t="s">
        <v>19</v>
      </c>
      <c r="N115" t="s">
        <v>13</v>
      </c>
      <c r="O115" t="s">
        <v>82</v>
      </c>
      <c r="P115">
        <v>10052</v>
      </c>
      <c r="Q115" t="str">
        <f>VLOOKUP(C115,Лист1!$B$1:$N$142,5,0)</f>
        <v>RU0000053245</v>
      </c>
      <c r="R115" s="4">
        <f>VLOOKUP(C115,Лист1!$B$1:$N$142,6,0)</f>
        <v>44383</v>
      </c>
      <c r="S115" s="4">
        <f>VLOOKUP(C115,Лист1!$B$1:$N$142,7,0)</f>
        <v>44383</v>
      </c>
      <c r="T115" s="4">
        <f>VLOOKUP(C115,Лист1!$B$1:$N$142,8,0)</f>
        <v>48213</v>
      </c>
      <c r="U115" s="10">
        <f>VLOOKUP(C115,Лист1!$B$1:$N$142,9,0)</f>
        <v>10</v>
      </c>
      <c r="V115" s="10">
        <f t="shared" si="17"/>
        <v>40</v>
      </c>
      <c r="W115">
        <v>38</v>
      </c>
      <c r="X115" s="1">
        <v>43</v>
      </c>
      <c r="Y115" s="1" t="s">
        <v>78</v>
      </c>
      <c r="Z115" s="3" t="s">
        <v>182</v>
      </c>
      <c r="AA115" s="2" t="str">
        <f>VLOOKUP(C115,Лист1!$B$1:$N$92,10,0)</f>
        <v>ЕАЭС N RU Д-CN.КА01.В.23216/20</v>
      </c>
      <c r="AB115" s="2">
        <f>VLOOKUP(C115,Лист1!$B$1:$N$92,11,0)</f>
        <v>43908</v>
      </c>
      <c r="AC115" s="2">
        <f>VLOOKUP(C115,Лист1!$B$1:$N$92,12,0)</f>
        <v>43908</v>
      </c>
      <c r="AD115" s="2">
        <f>VLOOKUP(C115,Лист1!$B$1:$N$92,13,0)</f>
        <v>45733</v>
      </c>
      <c r="AE115" t="s">
        <v>10</v>
      </c>
      <c r="AF115" t="s">
        <v>226</v>
      </c>
      <c r="AG115" t="s">
        <v>224</v>
      </c>
      <c r="AH115" t="str">
        <f>VLOOKUP(C115,Лист1!$B$3:$P$289,15,0)</f>
        <v xml:space="preserve">SICOM3028GPT-L2GT-MB-HV-HV-S - промышленные коммутаторы с широким спектром сфер применния и модульным дизайном для простоты масштабирования и расширения функционала устройства. Модели SICOM3028GPT-L2GT могут иметь до 28 гигабитных портов, а модели SICOM3028GPT-L2GT-MB-HV-HV-S до 24 портов 100 Мбит/с и до 4 гигабитных портов.. Устройства оборудованы PTP-картой для поддержки синхронизации времени (IEEE1588v2) на всех 28 портах устройства.
Коммутаторы крепятся в 19-дюймовую стойку (занимают 1U), крепятся передней или задней панелью. Устройства соответствуют IEC61850-3 и IEEE1613 для электроподстанций, имеют консольный Mini USB порт, соответствуют IEC62439-6, поддерживаюют VCT (Virtual Cable Test). Диапазон рабочих температур коммутаторов SICOM3028GPT-L2GT от -40° до +85°.
Характеристики
Порты
Медные или оптические порты 100 Мбит/с
до 24
Медные или оптические гигабитные порты
до 28 
Системная производительность
Стандарты:
IEEE802.3i, IEEE802.3u, IEEE802.3ab, IEEE802.3ac, IEEE802.3ad, IEEE802.3z, IEEE802.3x, IEEE802.1p, IEEE802.1Q, IEEE802.1s, IEEE802.1X, IEC62439-6, 
IEC 61850-8-1 GOOSE сообщения
Протоколы
DT-Ring, DT-Ring+, MSTP, DRP; IGMP Snooping, GMRP;
VLAN, GVRP, PVLAN;
Telnet, HTTP, HTTPS, SNMPv1/v2/v3, RMON, LLDP, Bootp, DHCP server/relay/client, DHCP Option 82;
SNTP, PTP, RTC;
SSH, SSL, TACACS+, RADIUS, ACL; Syslog;
ARP, Modbus TCP, QoS, LACP
PRP, HSR
Пропускная способность устройства
41.7 Mpps (SICOM3028GPT-L2GT),
9.5 Mpps (SICOM3028GPT-L2GT)
Параметры оптических портов
Длина волны
1310нм (одномод), 1550нм (одномод), 1310 (многомод)
Расстояние передачи
10~80км (одномод) , до 5 км (100M многомод) , до 2 км (1000M многомод)
Тип коннектора
SC, ST, FC
Питание
Напряжение питания
Резервированное: 220Вольт переменного напряжения/Вольт постоянного напряжения (77-300VDC/85-264VAC)
Потребляемая мощность
До 42 Вт
Механические характеристики
Размеры
482.6мм x 44мм x 360мм
Крепление
19” стойка
Класс защиты
IP40
Рабочая температура
от -40 до +85С
Температура хранения
-40 до +85C
Влажность
от 5 до 95% (без конденсата)
MTBF
359000 часов
Гарантия
5 лет
</v>
      </c>
    </row>
    <row r="116" spans="1:34" ht="20.25" hidden="1" customHeight="1" x14ac:dyDescent="0.25">
      <c r="A116" s="2">
        <v>44753</v>
      </c>
      <c r="B116">
        <f>VLOOKUP(C116,Лист1!$B$1:$N$67,2,0)</f>
        <v>8517620002</v>
      </c>
      <c r="C116" t="s">
        <v>114</v>
      </c>
      <c r="D116" s="5" t="str">
        <f>VLOOKUP(C116,Лист1!$B$2:$T$292,14,0)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116">
        <v>8</v>
      </c>
      <c r="F116" s="19">
        <v>2288.96</v>
      </c>
      <c r="G116" s="19">
        <f t="shared" si="20"/>
        <v>18311.68</v>
      </c>
      <c r="H116" t="str">
        <f>VLOOKUP(C116,Лист1!$B$1:$N$67,4,0)</f>
        <v xml:space="preserve">SICOM3028GPT-L2GT-MB-HV-HV-S - промышленные коммутаторы с широким спектром сфер применния и модульным дизайном для простоты масштабирования и расширения функционала устройства. Модели SICOM3028GPT-L2GT могут иметь до 28 гигабитных портов, а модели SICOM3028GPT-L2GT-MB-HV-HV-S до 24 портов 100 Мбит/с и до 4 гигабитных портов.. Устройства оборудованы PTP-картой для поддержки синхронизации времени (IEEE1588v2) на всех 28 портах устройства.
Коммутаторы крепятся в 19-дюймовую стойку (занимают 1U), крепятся передней или задней панелью. Устройства соответствуют IEC61850-3 и IEEE1613 для электроподстанций, имеют консольный Mini USB порт, соответствуют IEC62439-6, поддерживаюют VCT (Virtual Cable Test). Диапазон рабочих температур коммутаторов SICOM3028GPT-L2GT от -40° до +85°.
Протоколы
DT-Ring, DT-Ring+, MSTP, DRP; IGMP Snooping, GMRP;
VLAN, GVRP, PVLAN;
Telnet, HTTP, HTTPS, SNMPv1/v2/v3, RMON, LLDP, Bootp, DHCP server/relay/client, DHCP Option 82;
SNTP, PTP, RTC;
SSH, SSL, TACACS+, RADIUS, ACL; Syslog;
ARP, Modbus TCP, QoS, LACP
PRP, HSR
Длина волны
1310нм (одномод), 1550нм (одномод), 1310 (многомод)
Расстояние передачи
10~80км (одномод) , до 5 км (100M многомод) , до 2 км (1000M многомод)
Тип коннектора
Питание
Напряжение питания
Резервированное: 220Вольт переменного напряжения/Вольт постоянного напряжения (77-300VDC/85-264VAC)
Потребляемая мощность
До 42 Вт
Механические характеристики
Размеры
482.6мм x 44мм x 360мм
Крепление
19” стойка
Класс защиты
IP40
Рабочая температура
от -40 до +85С
Температура хранения
-40 до +85C
Влажность
от 5 до 95% (без конденсата)
MTBF
359000 часов
Гарантия
5 лет
</v>
      </c>
      <c r="I116" t="s">
        <v>15</v>
      </c>
      <c r="J116" t="s">
        <v>18</v>
      </c>
      <c r="K116">
        <v>156</v>
      </c>
      <c r="L116" t="s">
        <v>10</v>
      </c>
      <c r="M116" t="s">
        <v>19</v>
      </c>
      <c r="N116" t="s">
        <v>13</v>
      </c>
      <c r="O116" t="s">
        <v>82</v>
      </c>
      <c r="P116">
        <v>10052</v>
      </c>
      <c r="Q116" t="str">
        <f>VLOOKUP(C116,Лист1!$B$1:$N$142,5,0)</f>
        <v>RU0000053245</v>
      </c>
      <c r="R116" s="4">
        <f>VLOOKUP(C116,Лист1!$B$1:$N$142,6,0)</f>
        <v>44383</v>
      </c>
      <c r="S116" s="4">
        <f>VLOOKUP(C116,Лист1!$B$1:$N$142,7,0)</f>
        <v>44383</v>
      </c>
      <c r="T116" s="4">
        <f>VLOOKUP(C116,Лист1!$B$1:$N$142,8,0)</f>
        <v>48213</v>
      </c>
      <c r="U116" s="10">
        <f>VLOOKUP(C116,Лист1!$B$1:$N$142,9,0)</f>
        <v>10</v>
      </c>
      <c r="V116" s="10">
        <f t="shared" si="17"/>
        <v>80</v>
      </c>
      <c r="W116">
        <v>76</v>
      </c>
      <c r="X116" s="1">
        <v>84.8</v>
      </c>
      <c r="Y116" s="1" t="s">
        <v>78</v>
      </c>
      <c r="Z116" s="3" t="s">
        <v>182</v>
      </c>
      <c r="AA116" s="2" t="str">
        <f>VLOOKUP(C116,Лист1!$B$1:$N$92,10,0)</f>
        <v>ЕАЭС N RU Д-CN.КА01.В.23216/20</v>
      </c>
      <c r="AB116" s="2">
        <f>VLOOKUP(C116,Лист1!$B$1:$N$92,11,0)</f>
        <v>43908</v>
      </c>
      <c r="AC116" s="2">
        <f>VLOOKUP(C116,Лист1!$B$1:$N$92,12,0)</f>
        <v>43908</v>
      </c>
      <c r="AD116" s="2">
        <f>VLOOKUP(C116,Лист1!$B$1:$N$92,13,0)</f>
        <v>45733</v>
      </c>
      <c r="AE116" t="s">
        <v>10</v>
      </c>
      <c r="AF116" t="s">
        <v>226</v>
      </c>
      <c r="AG116" t="s">
        <v>224</v>
      </c>
      <c r="AH116" t="str">
        <f>VLOOKUP(C116,Лист1!$B$3:$P$289,15,0)</f>
        <v xml:space="preserve">SICOM3028GPT-L2GT-MB-HV-HV-S - промышленные коммутаторы с широким спектром сфер применния и модульным дизайном для простоты масштабирования и расширения функционала устройства. Модели SICOM3028GPT-L2GT могут иметь до 28 гигабитных портов, а модели SICOM3028GPT-L2GT-MB-HV-HV-S до 24 портов 100 Мбит/с и до 4 гигабитных портов.. Устройства оборудованы PTP-картой для поддержки синхронизации времени (IEEE1588v2) на всех 28 портах устройства.
Коммутаторы крепятся в 19-дюймовую стойку (занимают 1U), крепятся передней или задней панелью. Устройства соответствуют IEC61850-3 и IEEE1613 для электроподстанций, имеют консольный Mini USB порт, соответствуют IEC62439-6, поддерживаюют VCT (Virtual Cable Test). Диапазон рабочих температур коммутаторов SICOM3028GPT-L2GT от -40° до +85°.
Характеристики
Порты
Медные или оптические порты 100 Мбит/с
до 24
Медные или оптические гигабитные порты
до 28 
Системная производительность
Стандарты:
IEEE802.3i, IEEE802.3u, IEEE802.3ab, IEEE802.3ac, IEEE802.3ad, IEEE802.3z, IEEE802.3x, IEEE802.1p, IEEE802.1Q, IEEE802.1s, IEEE802.1X, IEC62439-6, 
IEC 61850-8-1 GOOSE сообщения
Протоколы
DT-Ring, DT-Ring+, MSTP, DRP; IGMP Snooping, GMRP;
VLAN, GVRP, PVLAN;
Telnet, HTTP, HTTPS, SNMPv1/v2/v3, RMON, LLDP, Bootp, DHCP server/relay/client, DHCP Option 82;
SNTP, PTP, RTC;
SSH, SSL, TACACS+, RADIUS, ACL; Syslog;
ARP, Modbus TCP, QoS, LACP
PRP, HSR
Пропускная способность устройства
41.7 Mpps (SICOM3028GPT-L2GT),
9.5 Mpps (SICOM3028GPT-L2GT)
Параметры оптических портов
Длина волны
1310нм (одномод), 1550нм (одномод), 1310 (многомод)
Расстояние передачи
10~80км (одномод) , до 5 км (100M многомод) , до 2 км (1000M многомод)
Тип коннектора
SC, ST, FC
Питание
Напряжение питания
Резервированное: 220Вольт переменного напряжения/Вольт постоянного напряжения (77-300VDC/85-264VAC)
Потребляемая мощность
До 42 Вт
Механические характеристики
Размеры
482.6мм x 44мм x 360мм
Крепление
19” стойка
Класс защиты
IP40
Рабочая температура
от -40 до +85С
Температура хранения
-40 до +85C
Влажность
от 5 до 95% (без конденсата)
MTBF
359000 часов
Гарантия
5 лет
</v>
      </c>
    </row>
    <row r="117" spans="1:34" ht="20.25" hidden="1" customHeight="1" x14ac:dyDescent="0.25">
      <c r="A117" s="2">
        <v>44753</v>
      </c>
      <c r="B117">
        <f>VLOOKUP(C117,Лист1!$B$1:$N$67,2,0)</f>
        <v>8517620003</v>
      </c>
      <c r="C117" t="s">
        <v>98</v>
      </c>
      <c r="D117" s="5" t="str">
        <f>VLOOKUP(C117,Лист1!$B$2:$T$292,14,0)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117">
        <v>2</v>
      </c>
      <c r="F117" s="19">
        <v>61</v>
      </c>
      <c r="G117" s="19">
        <f t="shared" si="20"/>
        <v>122</v>
      </c>
      <c r="H117" t="str">
        <f>VLOOKUP(C117,Лист1!$B$1:$N$67,4,0)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117" t="s">
        <v>15</v>
      </c>
      <c r="J117" t="s">
        <v>18</v>
      </c>
      <c r="K117">
        <v>156</v>
      </c>
      <c r="L117" t="s">
        <v>10</v>
      </c>
      <c r="M117" t="s">
        <v>19</v>
      </c>
      <c r="N117" t="s">
        <v>13</v>
      </c>
      <c r="O117" t="s">
        <v>82</v>
      </c>
      <c r="P117">
        <v>10052</v>
      </c>
      <c r="Q117" t="str">
        <f>VLOOKUP(C117,Лист1!$B$1:$N$142,5,0)</f>
        <v>RU0000053828</v>
      </c>
      <c r="R117" s="4">
        <f>VLOOKUP(C117,Лист1!$B$1:$N$142,6,0)</f>
        <v>44431</v>
      </c>
      <c r="S117" s="4">
        <f>VLOOKUP(C117,Лист1!$B$1:$N$142,7,0)</f>
        <v>44431</v>
      </c>
      <c r="T117" s="4">
        <f>VLOOKUP(C117,Лист1!$B$1:$N$142,8,0)</f>
        <v>48213</v>
      </c>
      <c r="U117" s="10">
        <f>VLOOKUP(C117,Лист1!$B$1:$N$142,9,0)</f>
        <v>0.3</v>
      </c>
      <c r="V117" s="10">
        <f t="shared" si="17"/>
        <v>0.6</v>
      </c>
      <c r="W117">
        <v>1</v>
      </c>
      <c r="X117" s="1">
        <v>1.1000000000000001</v>
      </c>
      <c r="Y117" s="1"/>
      <c r="Z117" s="1"/>
      <c r="AA117" s="1"/>
      <c r="AB117" s="1"/>
      <c r="AC117" s="1"/>
      <c r="AD117" s="1"/>
      <c r="AE117" t="s">
        <v>10</v>
      </c>
      <c r="AF117" t="s">
        <v>226</v>
      </c>
      <c r="AG117" t="s">
        <v>224</v>
      </c>
      <c r="AH117" t="str">
        <f>VLOOKUP(C117,Лист1!$B$3:$P$289,15,0)</f>
        <v xml:space="preserve">Интерфейсный Ethernet модуль – специально разработан для коммутаторов серии SICOM3028GPT и имеет в своем составе различные типы интерфейсов в зависимости от модели. Предназначен для подключения к коммутатору других устройств, например, других коммутаторов, посредством кабелей. Модуль SM6.6-4M-SC05-0.5U-S имеет в своем составе 4x100Base-FX оптических порта, многомод., коннектор SC, 5км. 
Характеристики
Энергопотребление: 3W
Корпус: Металл, без вентиляторов
Класс защиты: IP40
Габариты (ШxВxГ):
0.5U: 122.6x20.25x106.6мм
Вес: 0.3 кг
</v>
      </c>
    </row>
    <row r="118" spans="1:34" ht="20.25" hidden="1" customHeight="1" x14ac:dyDescent="0.25">
      <c r="A118" s="2">
        <v>44753</v>
      </c>
      <c r="B118">
        <f>VLOOKUP(C118,Лист1!$B$1:$N$67,2,0)</f>
        <v>8517620003</v>
      </c>
      <c r="C118" t="s">
        <v>117</v>
      </c>
      <c r="D118" s="5" t="str">
        <f>VLOOKUP(C118,Лист1!$B$2:$T$292,14,0)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118">
        <v>2</v>
      </c>
      <c r="F118" s="19">
        <v>270.55</v>
      </c>
      <c r="G118" s="19">
        <f t="shared" si="20"/>
        <v>541.1</v>
      </c>
      <c r="H118" t="str">
        <f>VLOOKUP(C118,Лист1!$B$1:$N$67,4,0)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118" t="s">
        <v>15</v>
      </c>
      <c r="J118" t="s">
        <v>18</v>
      </c>
      <c r="K118">
        <v>156</v>
      </c>
      <c r="L118" t="s">
        <v>10</v>
      </c>
      <c r="M118" t="s">
        <v>19</v>
      </c>
      <c r="N118" t="s">
        <v>13</v>
      </c>
      <c r="O118" t="s">
        <v>82</v>
      </c>
      <c r="P118">
        <v>10052</v>
      </c>
      <c r="Q118" t="str">
        <f>VLOOKUP(C118,Лист1!$B$1:$N$142,5,0)</f>
        <v>RU0000053828</v>
      </c>
      <c r="R118" s="4">
        <f>VLOOKUP(C118,Лист1!$B$1:$N$142,6,0)</f>
        <v>44431</v>
      </c>
      <c r="S118" s="4">
        <f>VLOOKUP(C118,Лист1!$B$1:$N$142,7,0)</f>
        <v>44431</v>
      </c>
      <c r="T118" s="4">
        <f>VLOOKUP(C118,Лист1!$B$1:$N$142,8,0)</f>
        <v>48213</v>
      </c>
      <c r="U118" s="10">
        <f>VLOOKUP(C118,Лист1!$B$1:$N$142,9,0)</f>
        <v>0.3</v>
      </c>
      <c r="V118" s="10">
        <f t="shared" si="17"/>
        <v>0.6</v>
      </c>
      <c r="W118">
        <v>1</v>
      </c>
      <c r="X118" s="1">
        <v>1.1000000000000001</v>
      </c>
      <c r="Y118" s="1"/>
      <c r="Z118" s="1"/>
      <c r="AA118" s="1"/>
      <c r="AB118" s="1"/>
      <c r="AC118" s="1"/>
      <c r="AD118" s="1"/>
      <c r="AE118" t="s">
        <v>10</v>
      </c>
      <c r="AF118" t="s">
        <v>226</v>
      </c>
      <c r="AG118" t="s">
        <v>224</v>
      </c>
      <c r="AH118" t="str">
        <f>VLOOKUP(C118,Лист1!$B$3:$P$289,15,0)</f>
        <v xml:space="preserve">Интерфейсный Ethernet модуль – специально разработан для коммутаторов серии SICOM3028GPT и имеет в своем составе различные типы интерфейсов в зависимости от модели. Предназначен для подключения к коммутатору других устройств, например, других коммутаторов, посредством кабелей. Модуль SM6.6-4M-SC05-0.5U-S имеет в своем составе 4x100Base-FX оптических порта, многомод., коннектор SC, 5км. 
Характеристики
Энергопотребление: 3W
Корпус: Металл, без вентиляторов
Класс защиты: IP40
Габариты (ШxВxГ):
0.5U: 122.6x20.25x106.6мм
Вес: 0.3 кг
</v>
      </c>
    </row>
    <row r="119" spans="1:34" ht="39.950000000000003" hidden="1" customHeight="1" x14ac:dyDescent="0.25">
      <c r="A119" s="2">
        <v>44753</v>
      </c>
      <c r="B119">
        <f>VLOOKUP(C119,Лист1!$B$1:$N$67,2,0)</f>
        <v>8517620002</v>
      </c>
      <c r="C119" t="s">
        <v>114</v>
      </c>
      <c r="D119" s="5" t="str">
        <f>VLOOKUP(C119,Лист1!$B$2:$T$292,14,0)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119">
        <v>2</v>
      </c>
      <c r="F119" s="19">
        <v>1219.0999999999999</v>
      </c>
      <c r="G119" s="19">
        <f t="shared" si="20"/>
        <v>2438.1999999999998</v>
      </c>
      <c r="H119" t="str">
        <f>VLOOKUP(C119,Лист1!$B$1:$N$67,4,0)</f>
        <v xml:space="preserve">SICOM3028GPT-L2GT-MB-HV-HV-S - промышленные коммутаторы с широким спектром сфер применния и модульным дизайном для простоты масштабирования и расширения функционала устройства. Модели SICOM3028GPT-L2GT могут иметь до 28 гигабитных портов, а модели SICOM3028GPT-L2GT-MB-HV-HV-S до 24 портов 100 Мбит/с и до 4 гигабитных портов.. Устройства оборудованы PTP-картой для поддержки синхронизации времени (IEEE1588v2) на всех 28 портах устройства.
Коммутаторы крепятся в 19-дюймовую стойку (занимают 1U), крепятся передней или задней панелью. Устройства соответствуют IEC61850-3 и IEEE1613 для электроподстанций, имеют консольный Mini USB порт, соответствуют IEC62439-6, поддерживаюют VCT (Virtual Cable Test). Диапазон рабочих температур коммутаторов SICOM3028GPT-L2GT от -40° до +85°.
Протоколы
DT-Ring, DT-Ring+, MSTP, DRP; IGMP Snooping, GMRP;
VLAN, GVRP, PVLAN;
Telnet, HTTP, HTTPS, SNMPv1/v2/v3, RMON, LLDP, Bootp, DHCP server/relay/client, DHCP Option 82;
SNTP, PTP, RTC;
SSH, SSL, TACACS+, RADIUS, ACL; Syslog;
ARP, Modbus TCP, QoS, LACP
PRP, HSR
Длина волны
1310нм (одномод), 1550нм (одномод), 1310 (многомод)
Расстояние передачи
10~80км (одномод) , до 5 км (100M многомод) , до 2 км (1000M многомод)
Тип коннектора
Питание
Напряжение питания
Резервированное: 220Вольт переменного напряжения/Вольт постоянного напряжения (77-300VDC/85-264VAC)
Потребляемая мощность
До 42 Вт
Механические характеристики
Размеры
482.6мм x 44мм x 360мм
Крепление
19” стойка
Класс защиты
IP40
Рабочая температура
от -40 до +85С
Температура хранения
-40 до +85C
Влажность
от 5 до 95% (без конденсата)
MTBF
359000 часов
Гарантия
5 лет
</v>
      </c>
      <c r="I119" t="s">
        <v>15</v>
      </c>
      <c r="J119" t="s">
        <v>18</v>
      </c>
      <c r="K119">
        <v>156</v>
      </c>
      <c r="L119" t="s">
        <v>10</v>
      </c>
      <c r="M119" t="s">
        <v>19</v>
      </c>
      <c r="N119" t="s">
        <v>13</v>
      </c>
      <c r="O119" t="s">
        <v>82</v>
      </c>
      <c r="P119">
        <v>10052</v>
      </c>
      <c r="Q119" t="str">
        <f>VLOOKUP(C119,Лист1!$B$1:$N$142,5,0)</f>
        <v>RU0000053245</v>
      </c>
      <c r="R119" s="4">
        <f>VLOOKUP(C119,Лист1!$B$1:$N$142,6,0)</f>
        <v>44383</v>
      </c>
      <c r="S119" s="4">
        <f>VLOOKUP(C119,Лист1!$B$1:$N$142,7,0)</f>
        <v>44383</v>
      </c>
      <c r="T119" s="4">
        <f>VLOOKUP(C119,Лист1!$B$1:$N$142,8,0)</f>
        <v>48213</v>
      </c>
      <c r="U119" s="10">
        <f>VLOOKUP(C119,Лист1!$B$1:$N$142,9,0)</f>
        <v>10</v>
      </c>
      <c r="V119" s="10">
        <f t="shared" si="17"/>
        <v>20</v>
      </c>
      <c r="W119">
        <v>16</v>
      </c>
      <c r="X119" s="1">
        <v>18</v>
      </c>
      <c r="Y119" s="1" t="s">
        <v>78</v>
      </c>
      <c r="Z119" s="3" t="s">
        <v>182</v>
      </c>
      <c r="AA119" s="2" t="str">
        <f>VLOOKUP(C119,Лист1!$B$1:$N$92,10,0)</f>
        <v>ЕАЭС N RU Д-CN.КА01.В.23216/20</v>
      </c>
      <c r="AB119" s="2">
        <f>VLOOKUP(C119,Лист1!$B$1:$N$92,11,0)</f>
        <v>43908</v>
      </c>
      <c r="AC119" s="2">
        <f>VLOOKUP(C119,Лист1!$B$1:$N$92,12,0)</f>
        <v>43908</v>
      </c>
      <c r="AD119" s="2">
        <f>VLOOKUP(C119,Лист1!$B$1:$N$92,13,0)</f>
        <v>45733</v>
      </c>
      <c r="AE119" t="s">
        <v>10</v>
      </c>
      <c r="AF119" t="s">
        <v>226</v>
      </c>
      <c r="AG119" t="s">
        <v>224</v>
      </c>
      <c r="AH119" t="str">
        <f>VLOOKUP(C119,Лист1!$B$3:$P$289,15,0)</f>
        <v xml:space="preserve">SICOM3028GPT-L2GT-MB-HV-HV-S - промышленные коммутаторы с широким спектром сфер применния и модульным дизайном для простоты масштабирования и расширения функционала устройства. Модели SICOM3028GPT-L2GT могут иметь до 28 гигабитных портов, а модели SICOM3028GPT-L2GT-MB-HV-HV-S до 24 портов 100 Мбит/с и до 4 гигабитных портов.. Устройства оборудованы PTP-картой для поддержки синхронизации времени (IEEE1588v2) на всех 28 портах устройства.
Коммутаторы крепятся в 19-дюймовую стойку (занимают 1U), крепятся передней или задней панелью. Устройства соответствуют IEC61850-3 и IEEE1613 для электроподстанций, имеют консольный Mini USB порт, соответствуют IEC62439-6, поддерживаюют VCT (Virtual Cable Test). Диапазон рабочих температур коммутаторов SICOM3028GPT-L2GT от -40° до +85°.
Характеристики
Порты
Медные или оптические порты 100 Мбит/с
до 24
Медные или оптические гигабитные порты
до 28 
Системная производительность
Стандарты:
IEEE802.3i, IEEE802.3u, IEEE802.3ab, IEEE802.3ac, IEEE802.3ad, IEEE802.3z, IEEE802.3x, IEEE802.1p, IEEE802.1Q, IEEE802.1s, IEEE802.1X, IEC62439-6, 
IEC 61850-8-1 GOOSE сообщения
Протоколы
DT-Ring, DT-Ring+, MSTP, DRP; IGMP Snooping, GMRP;
VLAN, GVRP, PVLAN;
Telnet, HTTP, HTTPS, SNMPv1/v2/v3, RMON, LLDP, Bootp, DHCP server/relay/client, DHCP Option 82;
SNTP, PTP, RTC;
SSH, SSL, TACACS+, RADIUS, ACL; Syslog;
ARP, Modbus TCP, QoS, LACP
PRP, HSR
Пропускная способность устройства
41.7 Mpps (SICOM3028GPT-L2GT),
9.5 Mpps (SICOM3028GPT-L2GT)
Параметры оптических портов
Длина волны
1310нм (одномод), 1550нм (одномод), 1310 (многомод)
Расстояние передачи
10~80км (одномод) , до 5 км (100M многомод) , до 2 км (1000M многомод)
Тип коннектора
SC, ST, FC
Питание
Напряжение питания
Резервированное: 220Вольт переменного напряжения/Вольт постоянного напряжения (77-300VDC/85-264VAC)
Потребляемая мощность
До 42 Вт
Механические характеристики
Размеры
482.6мм x 44мм x 360мм
Крепление
19” стойка
Класс защиты
IP40
Рабочая температура
от -40 до +85С
Температура хранения
-40 до +85C
Влажность
от 5 до 95% (без конденсата)
MTBF
359000 часов
Гарантия
5 лет
</v>
      </c>
    </row>
    <row r="120" spans="1:34" ht="51.75" hidden="1" customHeight="1" x14ac:dyDescent="0.25">
      <c r="A120" s="2">
        <v>44775</v>
      </c>
      <c r="B120">
        <f>VLOOKUP(C120,Лист1!$B$1:$N$67,2,0)</f>
        <v>8517620003</v>
      </c>
      <c r="C120" t="s">
        <v>176</v>
      </c>
      <c r="D120" s="5" t="str">
        <f>VLOOKUP(C120,Лист1!$B$2:$T$292,14,0)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консольным кабелем.</v>
      </c>
      <c r="E120">
        <v>50</v>
      </c>
      <c r="F120" s="19">
        <v>1326.7</v>
      </c>
      <c r="G120" s="19">
        <f t="shared" si="20"/>
        <v>66335</v>
      </c>
      <c r="H120" t="str">
        <f>VLOOKUP(C120,Лист1!$B$1:$N$67,4,0)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120" t="s">
        <v>15</v>
      </c>
      <c r="J120" t="s">
        <v>18</v>
      </c>
      <c r="K120">
        <v>156</v>
      </c>
      <c r="L120" t="s">
        <v>10</v>
      </c>
      <c r="M120" t="s">
        <v>19</v>
      </c>
      <c r="N120" t="s">
        <v>13</v>
      </c>
      <c r="O120" t="s">
        <v>82</v>
      </c>
      <c r="P120">
        <v>10052</v>
      </c>
      <c r="Q120" t="str">
        <f>VLOOKUP(C120,Лист1!$B$1:$N$142,5,0)</f>
        <v>RU0000053827</v>
      </c>
      <c r="R120" s="4">
        <f>VLOOKUP(C120,Лист1!$B$1:$N$142,6,0)</f>
        <v>44431</v>
      </c>
      <c r="S120" s="4">
        <f>VLOOKUP(C120,Лист1!$B$1:$N$142,7,0)</f>
        <v>44431</v>
      </c>
      <c r="T120" s="4">
        <f>VLOOKUP(C120,Лист1!$B$1:$N$142,8,0)</f>
        <v>48213</v>
      </c>
      <c r="U120" s="10">
        <f>VLOOKUP(C120,Лист1!$B$1:$N$142,9,0)</f>
        <v>3</v>
      </c>
      <c r="V120" s="10">
        <f t="shared" si="17"/>
        <v>150</v>
      </c>
      <c r="W120">
        <v>150</v>
      </c>
      <c r="X120" s="1">
        <v>194</v>
      </c>
      <c r="Y120" s="1" t="s">
        <v>78</v>
      </c>
      <c r="Z120" s="3" t="s">
        <v>182</v>
      </c>
      <c r="AA120" s="2" t="str">
        <f>VLOOKUP(C120,Лист1!$B$1:$N$92,10,0)</f>
        <v>ЕАЭС N RU Д-CN.РА01.В.95186/21</v>
      </c>
      <c r="AB120" s="2">
        <f>VLOOKUP(C120,Лист1!$B$1:$N$92,11,0)</f>
        <v>44435</v>
      </c>
      <c r="AC120" s="2">
        <f>VLOOKUP(C120,Лист1!$B$1:$N$92,12,0)</f>
        <v>44435</v>
      </c>
      <c r="AD120" s="2">
        <f>VLOOKUP(C120,Лист1!$B$1:$N$92,13,0)</f>
        <v>46253</v>
      </c>
      <c r="AE120" t="s">
        <v>10</v>
      </c>
      <c r="AF120" t="s">
        <v>225</v>
      </c>
      <c r="AG120" t="s">
        <v>223</v>
      </c>
      <c r="AH120" t="str">
        <f>VLOOKUP(C120,Лист1!$B$3:$P$289,15,0)</f>
        <v xml:space="preserve">SYM6416G – серия десяти-гигабитных управляемых коммутаторов на DIN-рейку, разработанных для систем передачи данных в энергетике, на транспорте, в горнодобывающей промышленности и др. Коммутатор имеет SFP порты 10Г . Прочный корпус без вентилятора с гофрированной поверхностью, способность работать в широком температурном диапазоне позволяет оборудованию стабильно работать в экстремальных промышленных условиях. В данном устройстве реализована поддержка протокола синхронизации точного времени IEEE1588 PTPv2 с точностью синхронизации 100нс. Коммутаторы могут крепиться на DIN-рейку или панель. Диапазон рабочих температур коммутаторов SYM6416G от -40° до +75°.
Характеристики
Порты
10G Base-X SFP	4
10/100/1000Base-TX	4
 100/1000Base-X SFP	8
Системная производительность
Стандарты	IEEE802.3i IEEE802.3u IEEE802.3ab IEEE802.3z IEEE 802.3ae IEEE 802.3ad IEEE802.3x IEEE802.1p IEEE802.1q IEEE 802.1w IEEE802.1s IEEE 802.1x IEEE1588
Функции 2 уровня	STP/RSTP
Поддержка до 4094 VLAN
VLAN на базе портов и 802.1Q
VLAN на основе MAC-адресов
управление VLAN, Private VLAN
динамическое назначение VLAN с использованием RADIUS- сервера
Поддержка QoS очередей на порт 8
DHCP
IGMP для фильтрации трафика групповой рассылки (до 4К групп)
Блокирование «Head-of-Line» (HOL)
Функции 3 уровня	Маршрутизация IPv4
Статическая маршрутизация
RIP v2 для динамической маршрутизации
Поддержка VRRPv2/v3
Private VLAN (PVLAN)
Управление маршрутизацией на основе ACL IPv4 или IPv6
 Протоклоы резервирования	IEEE 802.1d Spanning Tree Protocol (STP)
IEEE 802.1w Rapid Spanning Tree Protocol (RSTP)
Питание
Напряжение питания	18-36 Вольт постоянного тока
Потребляемая мощность	До 35 Ватт
Механические характеристики
Класс защиты	IP40
Крепление	DIN-рейка или панель
Размеры (Ш х Г х В)	120мм×154мм×154мм
 Рабочая температура	от -40 до +75С
Температура хранения	-40 до +85C
Влажность	от 5 до 95% (без конденсата)
MTBF	223350 часов
Гарантия	5 лет </v>
      </c>
    </row>
    <row r="121" spans="1:34" ht="165" hidden="1" x14ac:dyDescent="0.25">
      <c r="A121" s="2">
        <v>44778</v>
      </c>
      <c r="B121">
        <f>VLOOKUP(C121,Лист1!$B$1:$N$67,2,0)</f>
        <v>8517620003</v>
      </c>
      <c r="C121" t="s">
        <v>227</v>
      </c>
      <c r="D121" s="5" t="str">
        <f>VLOOKUP(C121,Лист1!$B$2:$T$292,14,0)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121">
        <v>1</v>
      </c>
      <c r="F121" s="19">
        <v>242</v>
      </c>
      <c r="G121" s="19">
        <f t="shared" si="20"/>
        <v>242</v>
      </c>
      <c r="H121" t="str">
        <f>VLOOKUP(C121,Лист1!$B$1:$N$67,4,0)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121" t="s">
        <v>15</v>
      </c>
      <c r="J121" t="s">
        <v>18</v>
      </c>
      <c r="K121">
        <v>156</v>
      </c>
      <c r="L121" t="s">
        <v>10</v>
      </c>
      <c r="M121" t="s">
        <v>19</v>
      </c>
      <c r="N121" t="s">
        <v>13</v>
      </c>
      <c r="O121" t="s">
        <v>82</v>
      </c>
      <c r="P121">
        <v>10052</v>
      </c>
      <c r="Q121" t="str">
        <f>VLOOKUP(C121,Лист1!$B$1:$N$142,5,0)</f>
        <v>RU0000049917</v>
      </c>
      <c r="R121" s="4">
        <f>VLOOKUP(C121,Лист1!$B$1:$N$142,6,0)</f>
        <v>44099</v>
      </c>
      <c r="S121" s="4">
        <f>VLOOKUP(C121,Лист1!$B$1:$N$142,7,0)</f>
        <v>44099</v>
      </c>
      <c r="T121" s="4">
        <f>VLOOKUP(C121,Лист1!$B$1:$N$142,8,0)</f>
        <v>47848</v>
      </c>
      <c r="U121" s="10">
        <f>VLOOKUP(C121,Лист1!$B$1:$N$142,9,0)</f>
        <v>1.1000000000000001</v>
      </c>
      <c r="V121" s="10">
        <f t="shared" si="17"/>
        <v>1.1000000000000001</v>
      </c>
      <c r="W121">
        <v>1.5</v>
      </c>
      <c r="X121" s="1">
        <f t="shared" ref="X121:X168" si="21">W121+W121*0.125</f>
        <v>1.6875</v>
      </c>
      <c r="Y121" s="1" t="s">
        <v>78</v>
      </c>
      <c r="Z121" s="3" t="s">
        <v>182</v>
      </c>
      <c r="AA121" s="2" t="str">
        <f>VLOOKUP(C121,Лист1!$B$1:$N$92,10,0)</f>
        <v>ЕАЭС N RU Д-CN.РА01.В.65848/21</v>
      </c>
      <c r="AB121" s="2">
        <f>VLOOKUP(C121,Лист1!$B$1:$N$92,11,0)</f>
        <v>43984</v>
      </c>
      <c r="AC121" s="2">
        <f>VLOOKUP(C121,Лист1!$B$1:$N$92,12,0)</f>
        <v>43984</v>
      </c>
      <c r="AD121" s="2">
        <f>VLOOKUP(C121,Лист1!$B$1:$N$92,13,0)</f>
        <v>45809</v>
      </c>
      <c r="AE121" t="s">
        <v>10</v>
      </c>
      <c r="AF121" t="s">
        <v>240</v>
      </c>
      <c r="AG121" t="s">
        <v>223</v>
      </c>
      <c r="AH121" t="str">
        <f>VLOOKUP(C121,Лист1!$B$3:$P$289,15,0)</f>
        <v xml:space="preserve">SYM3000A - серия гигабитных управляемых коммутаторов на DIN-рейку, разработанных для систем передачи данных в энергетике, на транспорте, в горнодобывающей промышленности и др. Коммутатор имеет до 12 гигабитных SFP разъемов и до 16 гигабитных RJ45 портов. Прочный корпус без вентилятора с гофрированной поверхностью, способность работать в широком температурном диапазоне позволяет оборудованию стабильно работать в экстремальных промышленных условиях. В данном устройстве реализована поддержка протокола синхронизации точного времени IEEE1588 PTPv2 с точностью синхронизации 100нс.
Характеристики
Порты
10/100Base-TX Ethernet RJ45
8 шт.
Системная производительность
Стандарты: 
IEEE802.3i, IEEE802.3u, IEEE802.3ab, IEEE802.3z, IEEE 802.3ad, IEEE 802.1d, IEEE 802.1w, IEEE802.3x, IEEE802.1p, IEEE802.1Q, IEEE802.1s, IEEE 802.1x, IEEE 802.1ab, IEEE1588 V2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Двойной вход питания 12 Вольт постоянного тока (9-36VDC)
До 10 Вт
Механические характеристики
Размеры
66×135×107.5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v>
      </c>
    </row>
    <row r="122" spans="1:34" ht="165" hidden="1" x14ac:dyDescent="0.25">
      <c r="A122" s="2">
        <v>44778</v>
      </c>
      <c r="B122">
        <f>VLOOKUP(C122,Лист1!$B$1:$N$67,2,0)</f>
        <v>8517620003</v>
      </c>
      <c r="C122" t="s">
        <v>228</v>
      </c>
      <c r="D122" s="5" t="str">
        <f>VLOOKUP(C122,Лист1!$B$2:$T$292,14,0)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122">
        <v>8</v>
      </c>
      <c r="F122" s="19">
        <v>604</v>
      </c>
      <c r="G122" s="19">
        <f t="shared" si="20"/>
        <v>4832</v>
      </c>
      <c r="H122" t="str">
        <f>VLOOKUP(C122,Лист1!$B$1:$N$67,4,0)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122" t="s">
        <v>15</v>
      </c>
      <c r="J122" t="s">
        <v>18</v>
      </c>
      <c r="K122">
        <v>156</v>
      </c>
      <c r="L122" t="s">
        <v>10</v>
      </c>
      <c r="M122" t="s">
        <v>19</v>
      </c>
      <c r="N122" t="s">
        <v>13</v>
      </c>
      <c r="O122" t="s">
        <v>82</v>
      </c>
      <c r="P122">
        <v>10052</v>
      </c>
      <c r="Q122" t="str">
        <f>VLOOKUP(C122,Лист1!$B$1:$N$142,5,0)</f>
        <v>RU0000049917</v>
      </c>
      <c r="R122" s="4">
        <f>VLOOKUP(C122,Лист1!$B$1:$N$142,6,0)</f>
        <v>44099</v>
      </c>
      <c r="S122" s="4">
        <f>VLOOKUP(C122,Лист1!$B$1:$N$142,7,0)</f>
        <v>44099</v>
      </c>
      <c r="T122" s="4">
        <f>VLOOKUP(C122,Лист1!$B$1:$N$142,8,0)</f>
        <v>47848</v>
      </c>
      <c r="U122" s="10">
        <f>VLOOKUP(C122,Лист1!$B$1:$N$142,9,0)</f>
        <v>1.1000000000000001</v>
      </c>
      <c r="V122" s="10">
        <f t="shared" si="17"/>
        <v>8.8000000000000007</v>
      </c>
      <c r="W122">
        <v>12</v>
      </c>
      <c r="X122" s="1">
        <v>14.13</v>
      </c>
      <c r="Y122" s="1" t="s">
        <v>78</v>
      </c>
      <c r="Z122" s="3" t="s">
        <v>182</v>
      </c>
      <c r="AA122" s="2" t="str">
        <f>VLOOKUP(C122,Лист1!$B$1:$N$92,10,0)</f>
        <v>ЕАЭС N RU Д-CN.РА01.В.65848/21</v>
      </c>
      <c r="AB122" s="2">
        <f>VLOOKUP(C122,Лист1!$B$1:$N$92,11,0)</f>
        <v>43984</v>
      </c>
      <c r="AC122" s="2">
        <f>VLOOKUP(C122,Лист1!$B$1:$N$92,12,0)</f>
        <v>43984</v>
      </c>
      <c r="AD122" s="2">
        <f>VLOOKUP(C122,Лист1!$B$1:$N$92,13,0)</f>
        <v>45809</v>
      </c>
      <c r="AE122" t="s">
        <v>10</v>
      </c>
      <c r="AF122" t="s">
        <v>240</v>
      </c>
      <c r="AG122" t="s">
        <v>223</v>
      </c>
      <c r="AH122" t="str">
        <f>VLOOKUP(C122,Лист1!$B$3:$P$289,15,0)</f>
        <v xml:space="preserve">SYM3000A - серия гигабитных управляемых коммутаторов на DIN-рейку, разработанных для систем передачи данных в энергетике, на транспорте, в горнодобывающей промышленности и др. Коммутатор имеет до 12 гигабитных SFP разъемов и до 16 гигабитных RJ45 портов. Прочный корпус без вентилятора с гофрированной поверхностью, способность работать в широком температурном диапазоне позволяет оборудованию стабильно работать в экстремальных промышленных условиях. В данном устройстве реализована поддержка протокола синхронизации точного времени IEEE1588 PTPv2 с точностью синхронизации 100нс.
Характеристики
Порты
10/100Base-TX Ethernet RJ45
8 шт.
Системная производительность
Стандарты: 
IEEE802.3i, IEEE802.3u, IEEE802.3ab, IEEE802.3z, IEEE 802.3ad, IEEE 802.1d, IEEE 802.1w, IEEE802.3x, IEEE802.1p, IEEE802.1Q, IEEE802.1s, IEEE 802.1x, IEEE 802.1ab, IEEE1588 V2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Двойной вход питания 12 Вольт постоянного тока (9-36VDC)
До 10 Вт
Механические характеристики
Размеры
66×135×107.5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v>
      </c>
    </row>
    <row r="123" spans="1:34" ht="165" hidden="1" x14ac:dyDescent="0.25">
      <c r="A123" s="2">
        <v>44778</v>
      </c>
      <c r="B123">
        <f>VLOOKUP(C123,Лист1!$B$1:$N$67,2,0)</f>
        <v>8517620003</v>
      </c>
      <c r="C123" t="s">
        <v>229</v>
      </c>
      <c r="D123" s="5" t="str">
        <f>VLOOKUP(C123,Лист1!$B$2:$T$292,14,0)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123">
        <v>7</v>
      </c>
      <c r="F123" s="19">
        <v>446</v>
      </c>
      <c r="G123" s="19">
        <f t="shared" si="20"/>
        <v>3122</v>
      </c>
      <c r="H123" t="str">
        <f>VLOOKUP(C123,Лист1!$B$1:$N$67,4,0)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123" t="s">
        <v>15</v>
      </c>
      <c r="J123" t="s">
        <v>18</v>
      </c>
      <c r="K123">
        <v>156</v>
      </c>
      <c r="L123" t="s">
        <v>10</v>
      </c>
      <c r="M123" t="s">
        <v>19</v>
      </c>
      <c r="N123" t="s">
        <v>13</v>
      </c>
      <c r="O123" t="s">
        <v>82</v>
      </c>
      <c r="P123">
        <v>10052</v>
      </c>
      <c r="Q123" t="str">
        <f>VLOOKUP(C123,Лист1!$B$1:$N$142,5,0)</f>
        <v>RU0000049917</v>
      </c>
      <c r="R123" s="4">
        <f>VLOOKUP(C123,Лист1!$B$1:$N$142,6,0)</f>
        <v>44099</v>
      </c>
      <c r="S123" s="4">
        <f>VLOOKUP(C123,Лист1!$B$1:$N$142,7,0)</f>
        <v>44099</v>
      </c>
      <c r="T123" s="4">
        <f>VLOOKUP(C123,Лист1!$B$1:$N$142,8,0)</f>
        <v>47848</v>
      </c>
      <c r="U123" s="10">
        <f>VLOOKUP(C123,Лист1!$B$1:$N$142,9,0)</f>
        <v>1.1000000000000001</v>
      </c>
      <c r="V123" s="10">
        <f t="shared" si="17"/>
        <v>7.7000000000000011</v>
      </c>
      <c r="W123">
        <v>10.5</v>
      </c>
      <c r="X123" s="1">
        <v>12.81</v>
      </c>
      <c r="Y123" s="1" t="s">
        <v>78</v>
      </c>
      <c r="Z123" s="3" t="s">
        <v>182</v>
      </c>
      <c r="AA123" s="2" t="str">
        <f>VLOOKUP(C123,Лист1!$B$1:$N$92,10,0)</f>
        <v>ЕАЭС N RU Д-CN.РА01.В.65848/21</v>
      </c>
      <c r="AB123" s="2">
        <f>VLOOKUP(C123,Лист1!$B$1:$N$92,11,0)</f>
        <v>43984</v>
      </c>
      <c r="AC123" s="2">
        <f>VLOOKUP(C123,Лист1!$B$1:$N$92,12,0)</f>
        <v>43984</v>
      </c>
      <c r="AD123" s="2">
        <f>VLOOKUP(C123,Лист1!$B$1:$N$92,13,0)</f>
        <v>45809</v>
      </c>
      <c r="AE123" t="s">
        <v>10</v>
      </c>
      <c r="AF123" t="s">
        <v>240</v>
      </c>
      <c r="AG123" t="s">
        <v>223</v>
      </c>
      <c r="AH123" t="str">
        <f>VLOOKUP(C123,Лист1!$B$3:$P$289,15,0)</f>
        <v xml:space="preserve">SYM3000A - серия гигабитных управляемых коммутаторов на DIN-рейку, разработанных для систем передачи данных в энергетике, на транспорте, в горнодобывающей промышленности и др. Коммутатор имеет до 12 гигабитных SFP разъемов и до 16 гигабитных RJ45 портов. Прочный корпус без вентилятора с гофрированной поверхностью, способность работать в широком температурном диапазоне позволяет оборудованию стабильно работать в экстремальных промышленных условиях. В данном устройстве реализована поддержка протокола синхронизации точного времени IEEE1588 PTPv2 с точностью синхронизации 100нс.
Характеристики
Порты
10/100Base-TX Ethernet RJ45
8 шт.
Системная производительность
Стандарты: 
IEEE802.3i, IEEE802.3u, IEEE802.3ab, IEEE802.3z, IEEE 802.3ad, IEEE 802.1d, IEEE 802.1w, IEEE802.3x, IEEE802.1p, IEEE802.1Q, IEEE802.1s, IEEE 802.1x, IEEE 802.1ab, IEEE1588 V2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Двойной вход питания 12 Вольт постоянного тока (9-36VDC)
До 10 Вт
Механические характеристики
Размеры
66×135×107.5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v>
      </c>
    </row>
    <row r="124" spans="1:34" ht="165" hidden="1" x14ac:dyDescent="0.25">
      <c r="A124" s="2">
        <v>44778</v>
      </c>
      <c r="B124">
        <f>VLOOKUP(C124,Лист1!$B$1:$N$67,2,0)</f>
        <v>8517620003</v>
      </c>
      <c r="C124" t="s">
        <v>168</v>
      </c>
      <c r="D124" s="5" t="str">
        <f>VLOOKUP(C124,Лист1!$B$2:$T$292,14,0)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124">
        <v>13</v>
      </c>
      <c r="F124" s="19">
        <v>503</v>
      </c>
      <c r="G124" s="19">
        <f t="shared" si="20"/>
        <v>6539</v>
      </c>
      <c r="H124" t="str">
        <f>VLOOKUP(C124,Лист1!$B$1:$N$116,4,0)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124" t="s">
        <v>15</v>
      </c>
      <c r="J124" t="s">
        <v>18</v>
      </c>
      <c r="K124">
        <v>156</v>
      </c>
      <c r="L124" t="s">
        <v>10</v>
      </c>
      <c r="M124" t="s">
        <v>19</v>
      </c>
      <c r="N124" t="s">
        <v>13</v>
      </c>
      <c r="O124" t="s">
        <v>82</v>
      </c>
      <c r="P124">
        <v>10052</v>
      </c>
      <c r="Q124" t="str">
        <f>VLOOKUP(C124,Лист1!$B$1:$N$142,5,0)</f>
        <v>RU0000053245</v>
      </c>
      <c r="R124" s="4">
        <f>VLOOKUP(C124,Лист1!$B$1:$N$142,6,0)</f>
        <v>44383</v>
      </c>
      <c r="S124" s="4">
        <f>VLOOKUP(C124,Лист1!$B$1:$N$142,7,0)</f>
        <v>44383</v>
      </c>
      <c r="T124" s="4">
        <f>VLOOKUP(C124,Лист1!$B$1:$N$142,8,0)</f>
        <v>48213</v>
      </c>
      <c r="U124" s="10">
        <f>VLOOKUP(C124,Лист1!$B$1:$N$142,9,0)</f>
        <v>1.35</v>
      </c>
      <c r="V124" s="10">
        <f t="shared" si="17"/>
        <v>17.55</v>
      </c>
      <c r="W124">
        <v>19.5</v>
      </c>
      <c r="X124" s="1">
        <v>21.37</v>
      </c>
      <c r="Y124" s="1" t="s">
        <v>78</v>
      </c>
      <c r="Z124" s="3" t="s">
        <v>182</v>
      </c>
      <c r="AA124" s="2" t="str">
        <f>VLOOKUP(C124,Лист1!$B$1:$N$92,10,0)</f>
        <v>ЕАЭС N RU Д-CN.РА01.В.54040/21</v>
      </c>
      <c r="AB124" s="2">
        <f>VLOOKUP(C124,Лист1!$B$1:$N$92,11,0)</f>
        <v>44375</v>
      </c>
      <c r="AC124" s="2">
        <f>VLOOKUP(C124,Лист1!$B$1:$N$92,12,0)</f>
        <v>44375</v>
      </c>
      <c r="AD124" s="2">
        <f>VLOOKUP(C124,Лист1!$B$1:$N$92,13,0)</f>
        <v>46196</v>
      </c>
      <c r="AE124" t="s">
        <v>10</v>
      </c>
      <c r="AF124" t="s">
        <v>240</v>
      </c>
      <c r="AG124" t="s">
        <v>223</v>
      </c>
      <c r="AH124" t="str">
        <f>VLOOKUP(C124,Лист1!$B$3:$P$289,15,0)</f>
        <v>SYM3000S - промышленные коммутаторы с пониженным потреблением питания, которые могут применяться в ветроэнергетике, распределительных сетях, подстанциях, энергетических SCADA-системах, системах водоочистки, на автомагистралях, в металлургии и других сферах.
Коммутаторы могут крепиться на DIN-рейку или панель. Устройства соответствуют IEC61850-3, IEEE1613, EN50155, EN50121-4, NEMA TS-2. Диапазон рабочих температур коммутаторов SYM3000S от -40° до +85°. Оптические порты коммутатора способны передавать данные на расстояния до 80 км.
В SFP-порты коммутатора можно установить специальные модули, которые могут поддерживать как оптические соединения (одномод или многомод), так и медные.
Характеристики
Порты
10/100Base-TX RJ45
8
1000Base-X SFP
4
Системная производительность
Стандарты:
IEEE 802.3u, IEEE 802.3ab, IEEE 802.3ad, IEEE 802.3z,IEEE 802.3x, IEEE 802.1D, IEEE 802.1Q, IEEE 802.1w, IEEE 802.1s, IEEE 802.1X, IEEE 802.1AB, IEEE 802.1p, IEEE 802.3i, IEEE 802.1ab, IEEE 802.3af PoE, IEEE 802.3at PoE+, IEEE1588 V2 (PTP)
Протоколы
DT-Ring, DT-Ring+, DT-VLAN, MSTP; 
IGMP Snooping, GMRP;
VLAN, PVLAN; 
Telnet, HTTP, HTTPS, SNMPv1/v2/v3, RMON, LLDP, SNTP, DHCP server; 
DT-Psec, SSH, SSL, ACL;
ARP, QoS
Пропускная способность устройства
4.2 Mpps
Питание
Напряжение питания
51-57 Вольт постоянного тока
Потребляемая мощность
менее 16 Вт
Механические характеристики
Размеры
75 * 168.2 *135.5 мм
Крепление
DIN-рейка или панель
Класс защиты
IP40
Рабочая температура
от -40 до +85С
Температура хранения
-40 до +85C
Влажность
от 5 до 95% (без конденсата)
MTBF
323350 часов
Гарантия
5 лет</v>
      </c>
    </row>
    <row r="125" spans="1:34" ht="32.25" hidden="1" customHeight="1" x14ac:dyDescent="0.25">
      <c r="A125" s="2">
        <v>44778</v>
      </c>
      <c r="B125">
        <v>8517620002</v>
      </c>
      <c r="C125" s="29" t="s">
        <v>231</v>
      </c>
      <c r="D125" s="5" t="str">
        <f>VLOOKUP(C125,Лист1!$B$2:$T$292,14,0)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125">
        <v>1</v>
      </c>
      <c r="F125" s="19">
        <v>2368.8000000000002</v>
      </c>
      <c r="G125" s="19">
        <f t="shared" si="20"/>
        <v>2368.8000000000002</v>
      </c>
      <c r="H125" t="str">
        <f>VLOOKUP(C125,Лист1!$B$1:$N$116,4,0)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125" t="s">
        <v>15</v>
      </c>
      <c r="J125" t="s">
        <v>18</v>
      </c>
      <c r="K125">
        <v>156</v>
      </c>
      <c r="L125" t="s">
        <v>10</v>
      </c>
      <c r="M125" t="s">
        <v>19</v>
      </c>
      <c r="N125" t="s">
        <v>13</v>
      </c>
      <c r="O125" t="s">
        <v>82</v>
      </c>
      <c r="P125">
        <v>10052</v>
      </c>
      <c r="Q125" t="str">
        <f>VLOOKUP(C125,Лист1!$B$1:$N$142,5,0)</f>
        <v>RU0000053245</v>
      </c>
      <c r="R125" s="4">
        <f>VLOOKUP(C125,Лист1!$B$1:$N$142,6,0)</f>
        <v>44383</v>
      </c>
      <c r="S125" s="4">
        <f>VLOOKUP(C125,Лист1!$B$1:$N$142,7,0)</f>
        <v>44383</v>
      </c>
      <c r="T125" s="4">
        <f>VLOOKUP(C125,Лист1!$B$1:$N$142,8,0)</f>
        <v>48213</v>
      </c>
      <c r="U125" s="10">
        <f>VLOOKUP(C125,Лист1!$B$1:$N$142,9,0)</f>
        <v>10</v>
      </c>
      <c r="V125" s="10">
        <f t="shared" si="17"/>
        <v>10</v>
      </c>
      <c r="W125">
        <v>8</v>
      </c>
      <c r="X125" s="1">
        <f>W125+W125*0.3</f>
        <v>10.4</v>
      </c>
      <c r="Y125" s="1" t="s">
        <v>78</v>
      </c>
      <c r="Z125" s="3" t="s">
        <v>182</v>
      </c>
      <c r="AA125" s="2" t="str">
        <f>VLOOKUP(C125,Лист1!$B$1:$N$92,10,0)</f>
        <v>ЕАЭС N RU Д-CN.КА01.В.23216/20</v>
      </c>
      <c r="AB125" s="2">
        <f>VLOOKUP(C125,Лист1!$B$1:$N$92,11,0)</f>
        <v>43908</v>
      </c>
      <c r="AC125" s="2">
        <f>VLOOKUP(C125,Лист1!$B$1:$N$92,12,0)</f>
        <v>43908</v>
      </c>
      <c r="AD125" s="2">
        <f>VLOOKUP(C125,Лист1!$B$1:$N$92,13,0)</f>
        <v>45733</v>
      </c>
      <c r="AE125" t="s">
        <v>10</v>
      </c>
      <c r="AF125" t="s">
        <v>240</v>
      </c>
      <c r="AG125" t="s">
        <v>223</v>
      </c>
      <c r="AH125" t="str">
        <f>VLOOKUP(C125,Лист1!$B$3:$P$289,15,0)</f>
        <v xml:space="preserve">SICOM3028GPT-L2G-MB-HV-HV-S - промышленные коммутаторы с широким спектром сфер применния и модульным дизайном для простоты масштабирования и расширения функционала устройства. Модели SICOM3028GPT-L2G могут иметь до 28 гигабитных портов. При этом возможна практически любая комбинация медных и оптических портов. 
Характеристики
Порты
Медные или оптические порты 100 Мбит/с 
до 24 
10/100/1000Base-TX 
до 24 
Комбо порты (10/100/1000Base-TX или гигабитные SFP) 
до 4 
Системная производительность
Стандарты: 
IEEE802.3i, IEEE802.3u, IEEE802.3ab, IEEE802.3ac, IEEE802.3ad, IEEE802.3z, IEEE802.3x, IEEE802.1p, IEEE802.1Q, IEEE802.1s, IEEE802.1X, IEC62439-6 
Протоколы 
DT-Ring, DT-Ring+, MSTP, DRP; IGMP Snooping, GMRP;
VLAN, GVRP, PVLAN;
Telnet, HTTP, HTTPS, SNMPv1/v2/v3, RMON, LLDP, Bootp, DHCP server/relay/client, DHCP Option 82;
SNTP, PTP, RTC;
SSH, SSL, TACACS+, RADIUS, ACL; FTP, TFTP, Syslog;
ARP, Modbus TCP, QoS, LACP 
Пропускная способность устройства 
41.7 Mpps (SICOM3028GPT-L2G), 9.5 Mpps (SICOM3028GPT-L2G) 
Параметры оптических портов
Длина волны 
1310нм (одномод), 1550нм (одномод), 1310 (многомод) 
Расстояние передачи 
10~80км (одномод) , до 5 км (100M многомод) , до 2 км (1000M многомод) 
Тип коннектора 
SC, ST, FC 
Питание
Напряжение питания 
От 77 до 300 Вольт постоянного тока или от 85 до 264 Вольт переменного тока  
Потребляемая мощность 
менее 26 Вт (при установке только медных модулей)
менее 40 Вт (при установке только оптических модулей) 
Механические характеристики
Размеры
482.6мм x 44мм x 360мм
Крепление 
19” стойка 
Класс защиты 
IP40 
Рабочая температура 
от -40 до +85С 
Температура хранения 
-40 до +85C 
Влажность 
от 5 до 95% (без конденсата) 
MTBF 
359000 часов 
Гарантия 
5 лет 
</v>
      </c>
    </row>
    <row r="126" spans="1:34" ht="28.5" hidden="1" customHeight="1" x14ac:dyDescent="0.25">
      <c r="A126" s="2">
        <v>44778</v>
      </c>
      <c r="B126">
        <v>8517620002</v>
      </c>
      <c r="C126" s="29" t="s">
        <v>231</v>
      </c>
      <c r="D126" s="5" t="str">
        <f>VLOOKUP(C126,Лист1!$B$2:$T$292,14,0)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126">
        <v>3</v>
      </c>
      <c r="F126" s="19">
        <v>1744.8</v>
      </c>
      <c r="G126" s="19">
        <f t="shared" si="20"/>
        <v>5234.3999999999996</v>
      </c>
      <c r="H126" t="str">
        <f>VLOOKUP(C126,Лист1!$B$1:$N$116,4,0)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126" t="s">
        <v>15</v>
      </c>
      <c r="J126" t="s">
        <v>18</v>
      </c>
      <c r="K126">
        <v>156</v>
      </c>
      <c r="L126" t="s">
        <v>10</v>
      </c>
      <c r="M126" t="s">
        <v>19</v>
      </c>
      <c r="N126" t="s">
        <v>13</v>
      </c>
      <c r="O126" t="s">
        <v>82</v>
      </c>
      <c r="P126">
        <v>10052</v>
      </c>
      <c r="Q126" t="str">
        <f>VLOOKUP(C126,Лист1!$B$1:$N$142,5,0)</f>
        <v>RU0000053245</v>
      </c>
      <c r="R126" s="4">
        <f>VLOOKUP(C126,Лист1!$B$1:$N$142,6,0)</f>
        <v>44383</v>
      </c>
      <c r="S126" s="4">
        <f>VLOOKUP(C126,Лист1!$B$1:$N$142,7,0)</f>
        <v>44383</v>
      </c>
      <c r="T126" s="4">
        <f>VLOOKUP(C126,Лист1!$B$1:$N$142,8,0)</f>
        <v>48213</v>
      </c>
      <c r="U126" s="10">
        <f>VLOOKUP(C126,Лист1!$B$1:$N$142,9,0)</f>
        <v>10</v>
      </c>
      <c r="V126" s="10">
        <f t="shared" si="17"/>
        <v>30</v>
      </c>
      <c r="W126">
        <v>21</v>
      </c>
      <c r="X126" s="1">
        <f>W126+W126*0.3</f>
        <v>27.3</v>
      </c>
      <c r="Y126" s="1" t="s">
        <v>78</v>
      </c>
      <c r="Z126" s="3" t="s">
        <v>182</v>
      </c>
      <c r="AA126" s="2" t="str">
        <f>VLOOKUP(C126,Лист1!$B$1:$N$92,10,0)</f>
        <v>ЕАЭС N RU Д-CN.КА01.В.23216/20</v>
      </c>
      <c r="AB126" s="2">
        <f>VLOOKUP(C126,Лист1!$B$1:$N$92,11,0)</f>
        <v>43908</v>
      </c>
      <c r="AC126" s="2">
        <f>VLOOKUP(C126,Лист1!$B$1:$N$92,12,0)</f>
        <v>43908</v>
      </c>
      <c r="AD126" s="2">
        <f>VLOOKUP(C126,Лист1!$B$1:$N$92,13,0)</f>
        <v>45733</v>
      </c>
      <c r="AE126" t="s">
        <v>10</v>
      </c>
      <c r="AF126" t="s">
        <v>240</v>
      </c>
      <c r="AG126" t="s">
        <v>223</v>
      </c>
      <c r="AH126" t="str">
        <f>VLOOKUP(C126,Лист1!$B$3:$P$289,15,0)</f>
        <v xml:space="preserve">SICOM3028GPT-L2G-MB-HV-HV-S - промышленные коммутаторы с широким спектром сфер применния и модульным дизайном для простоты масштабирования и расширения функционала устройства. Модели SICOM3028GPT-L2G могут иметь до 28 гигабитных портов. При этом возможна практически любая комбинация медных и оптических портов. 
Характеристики
Порты
Медные или оптические порты 100 Мбит/с 
до 24 
10/100/1000Base-TX 
до 24 
Комбо порты (10/100/1000Base-TX или гигабитные SFP) 
до 4 
Системная производительность
Стандарты: 
IEEE802.3i, IEEE802.3u, IEEE802.3ab, IEEE802.3ac, IEEE802.3ad, IEEE802.3z, IEEE802.3x, IEEE802.1p, IEEE802.1Q, IEEE802.1s, IEEE802.1X, IEC62439-6 
Протоколы 
DT-Ring, DT-Ring+, MSTP, DRP; IGMP Snooping, GMRP;
VLAN, GVRP, PVLAN;
Telnet, HTTP, HTTPS, SNMPv1/v2/v3, RMON, LLDP, Bootp, DHCP server/relay/client, DHCP Option 82;
SNTP, PTP, RTC;
SSH, SSL, TACACS+, RADIUS, ACL; FTP, TFTP, Syslog;
ARP, Modbus TCP, QoS, LACP 
Пропускная способность устройства 
41.7 Mpps (SICOM3028GPT-L2G), 9.5 Mpps (SICOM3028GPT-L2G) 
Параметры оптических портов
Длина волны 
1310нм (одномод), 1550нм (одномод), 1310 (многомод) 
Расстояние передачи 
10~80км (одномод) , до 5 км (100M многомод) , до 2 км (1000M многомод) 
Тип коннектора 
SC, ST, FC 
Питание
Напряжение питания 
От 77 до 300 Вольт постоянного тока или от 85 до 264 Вольт переменного тока  
Потребляемая мощность 
менее 26 Вт (при установке только медных модулей)
менее 40 Вт (при установке только оптических модулей) 
Механические характеристики
Размеры
482.6мм x 44мм x 360мм
Крепление 
19” стойка 
Класс защиты 
IP40 
Рабочая температура 
от -40 до +85С 
Температура хранения 
-40 до +85C 
Влажность 
от 5 до 95% (без конденсата) 
MTBF 
359000 часов 
Гарантия 
5 лет 
</v>
      </c>
    </row>
    <row r="127" spans="1:34" ht="30.75" hidden="1" customHeight="1" x14ac:dyDescent="0.25">
      <c r="A127" s="2">
        <v>44778</v>
      </c>
      <c r="B127">
        <f>VLOOKUP(C127,Лист1!$B$1:$N$67,2,0)</f>
        <v>8517620003</v>
      </c>
      <c r="C127" t="s">
        <v>25</v>
      </c>
      <c r="D127" s="5" t="str">
        <f>VLOOKUP(C127,Лист1!$B$2:$T$292,14,0)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127">
        <v>1</v>
      </c>
      <c r="F127" s="19">
        <v>1436.4</v>
      </c>
      <c r="G127" s="19">
        <f t="shared" si="20"/>
        <v>1436.4</v>
      </c>
      <c r="H127" t="str">
        <f>VLOOKUP(C127,Лист1!$B$1:$N$116,4,0)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127" t="s">
        <v>15</v>
      </c>
      <c r="J127" t="s">
        <v>18</v>
      </c>
      <c r="K127">
        <v>156</v>
      </c>
      <c r="L127" t="s">
        <v>10</v>
      </c>
      <c r="M127" t="s">
        <v>19</v>
      </c>
      <c r="N127" t="s">
        <v>13</v>
      </c>
      <c r="O127" t="s">
        <v>82</v>
      </c>
      <c r="P127">
        <v>10052</v>
      </c>
      <c r="Q127" t="str">
        <f>VLOOKUP(C127,Лист1!$B$1:$N$142,5,0)</f>
        <v>RU0000053245</v>
      </c>
      <c r="R127" s="4">
        <f>VLOOKUP(C127,Лист1!$B$1:$N$142,6,0)</f>
        <v>44383</v>
      </c>
      <c r="S127" s="4">
        <f>VLOOKUP(C127,Лист1!$B$1:$N$142,7,0)</f>
        <v>44383</v>
      </c>
      <c r="T127" s="4">
        <f>VLOOKUP(C127,Лист1!$B$1:$N$142,8,0)</f>
        <v>48213</v>
      </c>
      <c r="U127" s="10">
        <f>VLOOKUP(C127,Лист1!$B$1:$N$142,9,0)</f>
        <v>10</v>
      </c>
      <c r="V127" s="10">
        <f t="shared" si="17"/>
        <v>10</v>
      </c>
      <c r="W127">
        <v>6</v>
      </c>
      <c r="X127" s="1">
        <f t="shared" ref="X127" si="22">W127+W127*0.3</f>
        <v>7.8</v>
      </c>
      <c r="Y127" s="1" t="s">
        <v>78</v>
      </c>
      <c r="Z127" s="3" t="s">
        <v>182</v>
      </c>
      <c r="AA127" s="2" t="str">
        <f>VLOOKUP(C127,Лист1!$B$1:$N$92,10,0)</f>
        <v>ЕАЭС N RU Д-CN.КА01.В.23216/20</v>
      </c>
      <c r="AB127" s="2">
        <f>VLOOKUP(C127,Лист1!$B$1:$N$92,11,0)</f>
        <v>43908</v>
      </c>
      <c r="AC127" s="2">
        <f>VLOOKUP(C127,Лист1!$B$1:$N$92,12,0)</f>
        <v>43908</v>
      </c>
      <c r="AD127" s="2">
        <f>VLOOKUP(C127,Лист1!$B$1:$N$92,13,0)</f>
        <v>45733</v>
      </c>
      <c r="AE127" t="s">
        <v>10</v>
      </c>
      <c r="AF127" t="s">
        <v>240</v>
      </c>
      <c r="AG127" t="s">
        <v>223</v>
      </c>
      <c r="AH127" t="str">
        <f>VLOOKUP(C127,Лист1!$B$3:$P$289,15,0)</f>
        <v xml:space="preserve">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Характеристики
Порты
Оптические или медные порты 100 Мбит/с 
до 24 
Оптические или медные гигабитные порты 
до 28 (SICOM3028GPT-L3G) 
до 4 (SICOM3028GPT-L3G) 
Системная производительность
Стандарты: 
IEEE 802.3i, IEEE 802.3u, IEEE 802.3ab, IEEE802.3ac, IEEE 802.3ad, IEEE 802.3z, IEEE 802.3x, IEEE 802.1p, IEEE 802.1Q, IEEE 802.1s, IEEE802.1X, IEC62439-6,
IEC 61850-8-1 GOOSE сообщения 
Протоколы 
DT-Ring, DT-Ring+, MSTP, DRP, VRRP; IGMP, IGMP Snooping, GMRP, PIM-SM, PIM-DM, DVMRP; 
RIPv1/v2, OSPFv2, BGPv4;
VLAN, GVRP, PVLAN; 
Telnet, SNMPv1/v2/v3, RMON, LLDP, BootP, DHCP Option 82, DHCP server/relay/client; 
SNTP, RTC;
SSH, SSL, TACACS+, RADIUS, ACL; 
ARP, Modbus TCP, QoS, LACP
PRP, HSR 
Пропускная способность устройства 
41.7 Mpps (SICOM3028GPT-L3G), 
9.5 Mpps (SICOM3028GPT-L3G) 
Питание
Напряжение питания: 220VAC/DC (85-264VAC/77-370VDC) 
Механические характеристики
Размеры
482.6 x 44 x 360 мм
Крепление 
19” стойка 
Класс защиты 
IP40 
Рабочая температура 
от -40 до +85С 
Температура хранения 
-40 до +85C 
Влажность 
от 5 до 95% (без конденсата) 
MTBF 
368000 часов 
Гарантия 
5 лет </v>
      </c>
    </row>
    <row r="128" spans="1:34" ht="165" hidden="1" x14ac:dyDescent="0.25">
      <c r="A128" s="2">
        <v>44778</v>
      </c>
      <c r="B128">
        <f>VLOOKUP(C128,Лист1!$B$1:$N$98,2,0)</f>
        <v>8517620002</v>
      </c>
      <c r="C128" s="29" t="s">
        <v>231</v>
      </c>
      <c r="D128" s="5" t="str">
        <f>VLOOKUP(C128,Лист1!$B$2:$T$292,14,0)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128">
        <v>10</v>
      </c>
      <c r="F128" s="19">
        <v>2576.8000000000002</v>
      </c>
      <c r="G128" s="19">
        <f t="shared" si="20"/>
        <v>25768</v>
      </c>
      <c r="H128" t="str">
        <f>VLOOKUP(C128,Лист1!$B$1:$N$116,4,0)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128" t="s">
        <v>15</v>
      </c>
      <c r="J128" t="s">
        <v>18</v>
      </c>
      <c r="K128">
        <v>156</v>
      </c>
      <c r="L128" t="s">
        <v>10</v>
      </c>
      <c r="M128" t="s">
        <v>19</v>
      </c>
      <c r="N128" t="s">
        <v>13</v>
      </c>
      <c r="O128" t="s">
        <v>82</v>
      </c>
      <c r="P128">
        <v>10052</v>
      </c>
      <c r="Q128" t="str">
        <f>VLOOKUP(C128,Лист1!$B$1:$N$142,5,0)</f>
        <v>RU0000053245</v>
      </c>
      <c r="R128" s="4">
        <f>VLOOKUP(C128,Лист1!$B$1:$N$142,6,0)</f>
        <v>44383</v>
      </c>
      <c r="S128" s="4">
        <f>VLOOKUP(C128,Лист1!$B$1:$N$142,7,0)</f>
        <v>44383</v>
      </c>
      <c r="T128" s="4">
        <f>VLOOKUP(C128,Лист1!$B$1:$N$142,8,0)</f>
        <v>48213</v>
      </c>
      <c r="U128" s="10">
        <f>VLOOKUP(C128,Лист1!$B$1:$N$142,9,0)</f>
        <v>10</v>
      </c>
      <c r="V128" s="10">
        <f t="shared" si="17"/>
        <v>100</v>
      </c>
      <c r="W128">
        <v>80</v>
      </c>
      <c r="X128" s="1">
        <v>105.5</v>
      </c>
      <c r="Y128" s="1" t="s">
        <v>78</v>
      </c>
      <c r="Z128" s="3" t="s">
        <v>182</v>
      </c>
      <c r="AA128" s="2" t="str">
        <f>VLOOKUP(C128,Лист1!$B$1:$N$92,10,0)</f>
        <v>ЕАЭС N RU Д-CN.КА01.В.23216/20</v>
      </c>
      <c r="AB128" s="2">
        <f>VLOOKUP(C128,Лист1!$B$1:$N$92,11,0)</f>
        <v>43908</v>
      </c>
      <c r="AC128" s="2">
        <f>VLOOKUP(C128,Лист1!$B$1:$N$92,12,0)</f>
        <v>43908</v>
      </c>
      <c r="AD128" s="2">
        <f>VLOOKUP(C128,Лист1!$B$1:$N$92,13,0)</f>
        <v>45733</v>
      </c>
      <c r="AE128" t="s">
        <v>10</v>
      </c>
      <c r="AF128" t="s">
        <v>240</v>
      </c>
      <c r="AG128" t="s">
        <v>223</v>
      </c>
      <c r="AH128" t="str">
        <f>VLOOKUP(C128,Лист1!$B$3:$P$289,15,0)</f>
        <v xml:space="preserve">SICOM3028GPT-L2G-MB-HV-HV-S - промышленные коммутаторы с широким спектром сфер применния и модульным дизайном для простоты масштабирования и расширения функционала устройства. Модели SICOM3028GPT-L2G могут иметь до 28 гигабитных портов. При этом возможна практически любая комбинация медных и оптических портов. 
Характеристики
Порты
Медные или оптические порты 100 Мбит/с 
до 24 
10/100/1000Base-TX 
до 24 
Комбо порты (10/100/1000Base-TX или гигабитные SFP) 
до 4 
Системная производительность
Стандарты: 
IEEE802.3i, IEEE802.3u, IEEE802.3ab, IEEE802.3ac, IEEE802.3ad, IEEE802.3z, IEEE802.3x, IEEE802.1p, IEEE802.1Q, IEEE802.1s, IEEE802.1X, IEC62439-6 
Протоколы 
DT-Ring, DT-Ring+, MSTP, DRP; IGMP Snooping, GMRP;
VLAN, GVRP, PVLAN;
Telnet, HTTP, HTTPS, SNMPv1/v2/v3, RMON, LLDP, Bootp, DHCP server/relay/client, DHCP Option 82;
SNTP, PTP, RTC;
SSH, SSL, TACACS+, RADIUS, ACL; FTP, TFTP, Syslog;
ARP, Modbus TCP, QoS, LACP 
Пропускная способность устройства 
41.7 Mpps (SICOM3028GPT-L2G), 9.5 Mpps (SICOM3028GPT-L2G) 
Параметры оптических портов
Длина волны 
1310нм (одномод), 1550нм (одномод), 1310 (многомод) 
Расстояние передачи 
10~80км (одномод) , до 5 км (100M многомод) , до 2 км (1000M многомод) 
Тип коннектора 
SC, ST, FC 
Питание
Напряжение питания 
От 77 до 300 Вольт постоянного тока или от 85 до 264 Вольт переменного тока  
Потребляемая мощность 
менее 26 Вт (при установке только медных модулей)
менее 40 Вт (при установке только оптических модулей) 
Механические характеристики
Размеры
482.6мм x 44мм x 360мм
Крепление 
19” стойка 
Класс защиты 
IP40 
Рабочая температура 
от -40 до +85С 
Температура хранения 
-40 до +85C 
Влажность 
от 5 до 95% (без конденсата) 
MTBF 
359000 часов 
Гарантия 
5 лет 
</v>
      </c>
    </row>
    <row r="129" spans="1:34" ht="165" hidden="1" x14ac:dyDescent="0.25">
      <c r="A129" s="2">
        <v>44778</v>
      </c>
      <c r="B129">
        <f>VLOOKUP(C129,Лист1!$B$1:$N$98,2,0)</f>
        <v>8517620003</v>
      </c>
      <c r="C129" t="s">
        <v>230</v>
      </c>
      <c r="D129" s="5" t="str">
        <f>VLOOKUP(C129,Лист1!$B$2:$T$292,14,0)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129">
        <v>26</v>
      </c>
      <c r="F129" s="19">
        <v>90</v>
      </c>
      <c r="G129" s="19">
        <f t="shared" si="20"/>
        <v>2340</v>
      </c>
      <c r="H129" t="str">
        <f>VLOOKUP(C129,Лист1!$B$1:$N$116,4,0)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129" t="s">
        <v>15</v>
      </c>
      <c r="J129" t="s">
        <v>18</v>
      </c>
      <c r="K129">
        <v>156</v>
      </c>
      <c r="L129" t="s">
        <v>10</v>
      </c>
      <c r="M129" t="s">
        <v>19</v>
      </c>
      <c r="N129" t="s">
        <v>13</v>
      </c>
      <c r="O129" t="s">
        <v>82</v>
      </c>
      <c r="P129">
        <v>10052</v>
      </c>
      <c r="Q129" t="str">
        <f>VLOOKUP(C129,Лист1!$B$1:$N$142,5,0)</f>
        <v>RU0000055089</v>
      </c>
      <c r="R129" s="4">
        <f>VLOOKUP(C129,Лист1!$B$1:$N$142,6,0)</f>
        <v>44543</v>
      </c>
      <c r="S129" s="4">
        <f>VLOOKUP(C129,Лист1!$B$1:$N$142,7,0)</f>
        <v>44543</v>
      </c>
      <c r="T129" s="4">
        <f>VLOOKUP(C129,Лист1!$B$1:$N$142,8,0)</f>
        <v>48213</v>
      </c>
      <c r="U129" s="10">
        <f>VLOOKUP(C129,Лист1!$B$1:$N$142,9,0)</f>
        <v>0.3</v>
      </c>
      <c r="V129" s="10">
        <f t="shared" si="17"/>
        <v>7.8</v>
      </c>
      <c r="W129">
        <v>20.8</v>
      </c>
      <c r="X129" s="1">
        <v>26</v>
      </c>
      <c r="Y129" s="1" t="s">
        <v>78</v>
      </c>
      <c r="Z129" s="3" t="s">
        <v>182</v>
      </c>
      <c r="AA129" s="2" t="str">
        <f>VLOOKUP(C129,Лист1!$B$1:$N$92,10,0)</f>
        <v>ЕАЭС N RU Д-CN.РА01.В.65864/21</v>
      </c>
      <c r="AB129" s="2">
        <f>VLOOKUP(C129,Лист1!$B$1:$N$92,11,0)</f>
        <v>44330</v>
      </c>
      <c r="AC129" s="2">
        <f>VLOOKUP(C129,Лист1!$B$1:$N$92,12,0)</f>
        <v>44330</v>
      </c>
      <c r="AD129" s="2">
        <f>VLOOKUP(C129,Лист1!$B$1:$N$92,13,0)</f>
        <v>46154</v>
      </c>
      <c r="AE129" t="s">
        <v>10</v>
      </c>
      <c r="AF129" t="s">
        <v>240</v>
      </c>
      <c r="AG129" t="s">
        <v>223</v>
      </c>
      <c r="AH129" t="str">
        <f>VLOOKUP(C129,Лист1!$B$3:$P$289,15,0)</f>
        <v xml:space="preserve">Описание
KOM300A-1S2T-SC40-L2-L2-S - промышленные медиаконвертеры для преобразования сред между 10/100Base-T(X) медью и 100Base-FX оптикой, что позволяет увеличивать расстояния передачи данных благодаря оптике. KOM300A-1S2T-SC40-L2-L2-S поддерживают автоматическое согласование передачи по витой паре, так что не нужно выбирать между кроссовым и прямым кабелем - используйте любой. Устройства имеют широкий температурный диапазон: от -40 до +70°C, могут питаться от двух источников питания с напряжением 18 ~ 72 V DC.
Характеристики
Порты
10/100BaseTX порт
2 порта
Оптические порты
1
Стандарт оптических портов
100BaseFX
Тип оптики
Многомод 
Оптический разъём
SC
Дистанция
5 км 
Длина волны
1310 нм
Питание
Резервирование питания
Поддержка двух источников питания от 18 до 72 Вольт постоянного тока
Потребляемая мощность
2,2 W
Защита от высокого напряжения
Есть
Защита от обратной полярности
Есть
Физические характеристики
Класс защиты
IP-40
Размеры
30 × 115 × 91.5 мм
Рабочая температура
от -40° до 85°
Температура хранения
от -40° до 85°
Рабочая влажность
от 5% до 95% (без конденсата)
</v>
      </c>
    </row>
    <row r="130" spans="1:34" ht="165" hidden="1" x14ac:dyDescent="0.25">
      <c r="A130" s="2">
        <v>44778</v>
      </c>
      <c r="B130">
        <f>VLOOKUP(C130,Лист1!$B$1:$N$98,2,0)</f>
        <v>8517620003</v>
      </c>
      <c r="C130" t="s">
        <v>232</v>
      </c>
      <c r="D130" s="5" t="str">
        <f>VLOOKUP(C130,Лист1!$B$2:$T$292,14,0)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130">
        <v>5</v>
      </c>
      <c r="F130" s="19">
        <v>902</v>
      </c>
      <c r="G130" s="19">
        <f t="shared" si="20"/>
        <v>4510</v>
      </c>
      <c r="H130" t="str">
        <f>VLOOKUP(C130,Лист1!$B$1:$N$116,4,0)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130" t="s">
        <v>15</v>
      </c>
      <c r="J130" t="s">
        <v>18</v>
      </c>
      <c r="K130">
        <v>156</v>
      </c>
      <c r="L130" t="s">
        <v>10</v>
      </c>
      <c r="M130" t="s">
        <v>19</v>
      </c>
      <c r="N130" t="s">
        <v>13</v>
      </c>
      <c r="O130" t="s">
        <v>82</v>
      </c>
      <c r="P130">
        <v>10052</v>
      </c>
      <c r="Q130" t="str">
        <f>VLOOKUP(C130,Лист1!$B$1:$N$142,5,0)</f>
        <v>RU0000053825</v>
      </c>
      <c r="R130" s="4">
        <f>VLOOKUP(C130,Лист1!$B$1:$N$142,6,0)</f>
        <v>44431</v>
      </c>
      <c r="S130" s="4">
        <f>VLOOKUP(C130,Лист1!$B$1:$N$142,7,0)</f>
        <v>44431</v>
      </c>
      <c r="T130" s="4">
        <f>VLOOKUP(C130,Лист1!$B$1:$N$142,8,0)</f>
        <v>48213</v>
      </c>
      <c r="U130" s="10">
        <f>VLOOKUP(C130,Лист1!$B$1:$N$142,9,0)</f>
        <v>4</v>
      </c>
      <c r="V130" s="10">
        <f t="shared" si="17"/>
        <v>20</v>
      </c>
      <c r="W130">
        <v>30</v>
      </c>
      <c r="X130" s="1">
        <v>36</v>
      </c>
      <c r="Y130" s="1" t="s">
        <v>78</v>
      </c>
      <c r="Z130" s="3" t="s">
        <v>182</v>
      </c>
      <c r="AA130" s="2" t="str">
        <f>VLOOKUP(C130,Лист1!$B$1:$N$92,10,0)</f>
        <v>ЕАЭС N RU Д-CN.КА01.В.17403/19</v>
      </c>
      <c r="AB130" s="2">
        <f>VLOOKUP(C130,Лист1!$B$1:$N$92,11,0)</f>
        <v>43787</v>
      </c>
      <c r="AC130" s="2">
        <f>VLOOKUP(C130,Лист1!$B$1:$N$92,12,0)</f>
        <v>43787</v>
      </c>
      <c r="AD130" s="2">
        <f>VLOOKUP(C130,Лист1!$B$1:$N$92,13,0)</f>
        <v>45613</v>
      </c>
      <c r="AE130" t="s">
        <v>10</v>
      </c>
      <c r="AF130" t="s">
        <v>240</v>
      </c>
      <c r="AG130" t="s">
        <v>223</v>
      </c>
      <c r="AH130" t="str">
        <f>VLOOKUP(C130,Лист1!$B$3:$P$289,15,0)</f>
        <v xml:space="preserve">SICOM3024P-2M26T-SC05-HV-HV-S - промышленные коммутаторы 2 уровня, монтируемые в 19" стойку. Устройства имеют 4 гигабитных порта и 24 порта 100 Мбит/с, которые могут быть как медными так и оптическими.
Коммутаторы крепятся в 19-дюймовую стойку (занимают 1U). Устройства соответствуют IEC61850-3, IEEE1613, EN50155, EN50121-4, NEMA TS-2 для использования в энергетике и на транспорте. Диапазон рабочих температур коммутаторов SICOM3024P-2M26T-SC05-HV-HV-S от -40° до +85°. 
Характеристики
Порты
Медные или оптические порты 100 Мбит/с 
26
Оптические порты 100Base-X (мультимод, 5 км., длина волны 1310 нм)
2
Системная производительность
Стандарты: 
IEEE 802.3i, IEEE 802.3u, IEEE 802.3ab, IEEE 802.3z, IEEE 802.3x, IEEE 802.1p, IEEE 802.1Q, IEEE 802.1s 
Протоколы 
DT-Ring, DT-Ring+, MSTP
IGMP Snooping, GMRP; 
VLAN, PVLAN; 
Telnet, HTTP, HTTPS, SNMPv1/v2/v3, RMON, LLDP, DHCP server; 
SNTP, RTC;
DT-Psec, SSH, SSL, ACL;
ARP, QoS 
Пропускная способность устройства 
9.5 Mpps 
Питание
Напряжение питания 
 От 85 до264Вольт переменного тока или от 77 до 300Вольт постоянного тока 
Потребляемая мощность 
менее 30 Вт 
Механические характеристики
Размеры
482.6×44×322.5 мм 
Крепление 
19” стойка 
Класс защиты 
IP40 
Рабочая температура 
от -40 до +85С 
Температура хранения 
-40 до +85C 
Влажность 
от 5 до 95% (без конденсата) 
MTBF 
346889 часов 
Гарантия 
5 лет </v>
      </c>
    </row>
    <row r="131" spans="1:34" ht="46.5" hidden="1" customHeight="1" x14ac:dyDescent="0.25">
      <c r="A131" s="2">
        <v>44820</v>
      </c>
      <c r="B131">
        <f>VLOOKUP(C131,Лист1!$B$1:$N$98,2,0)</f>
        <v>8517620003</v>
      </c>
      <c r="C131" t="s">
        <v>241</v>
      </c>
      <c r="D131" s="5" t="str">
        <f>VLOOKUP(C131,Лист1!$B$2:$T$292,14,0)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131">
        <v>3</v>
      </c>
      <c r="F131" s="19">
        <v>1585.6</v>
      </c>
      <c r="G131" s="19">
        <f t="shared" si="20"/>
        <v>4756.7999999999993</v>
      </c>
      <c r="H131" t="str">
        <f>VLOOKUP(C131,Лист1!$B$1:$N$116,4,0)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131" t="s">
        <v>15</v>
      </c>
      <c r="J131" t="s">
        <v>18</v>
      </c>
      <c r="K131">
        <v>156</v>
      </c>
      <c r="L131" t="s">
        <v>10</v>
      </c>
      <c r="M131" t="s">
        <v>19</v>
      </c>
      <c r="N131" t="s">
        <v>13</v>
      </c>
      <c r="O131" t="s">
        <v>82</v>
      </c>
      <c r="P131">
        <v>10052</v>
      </c>
      <c r="Q131" t="str">
        <f>VLOOKUP(C131,Лист1!$B$1:$N$142,5,0)</f>
        <v>RU0000053245</v>
      </c>
      <c r="R131" s="4">
        <f>VLOOKUP(C131,Лист1!$B$1:$N$142,6,0)</f>
        <v>44383</v>
      </c>
      <c r="S131" s="4">
        <f>VLOOKUP(C131,Лист1!$B$1:$N$142,7,0)</f>
        <v>44383</v>
      </c>
      <c r="T131" s="4">
        <f>VLOOKUP(C131,Лист1!$B$1:$N$142,8,0)</f>
        <v>48213</v>
      </c>
      <c r="U131" s="10">
        <f>VLOOKUP(C131,Лист1!$B$1:$N$142,9,0)</f>
        <v>10</v>
      </c>
      <c r="V131" s="10">
        <f t="shared" si="17"/>
        <v>30</v>
      </c>
      <c r="W131">
        <v>24</v>
      </c>
      <c r="X131" s="1">
        <v>29.24</v>
      </c>
      <c r="Y131" s="1" t="s">
        <v>78</v>
      </c>
      <c r="Z131" s="3" t="s">
        <v>182</v>
      </c>
      <c r="AA131" s="2" t="str">
        <f>VLOOKUP(C131,Лист1!$B$1:$N$92,10,0)</f>
        <v>ЕАЭС N RU Д-CN.КА01.В.23216/20</v>
      </c>
      <c r="AB131" s="2">
        <f>VLOOKUP(C131,Лист1!$B$1:$N$92,11,0)</f>
        <v>43908</v>
      </c>
      <c r="AC131" s="2">
        <f>VLOOKUP(C131,Лист1!$B$1:$N$92,12,0)</f>
        <v>43908</v>
      </c>
      <c r="AD131" s="2">
        <f>VLOOKUP(C131,Лист1!$B$1:$N$92,13,0)</f>
        <v>45733</v>
      </c>
      <c r="AE131" t="s">
        <v>10</v>
      </c>
      <c r="AF131" t="s">
        <v>253</v>
      </c>
      <c r="AG131" t="s">
        <v>223</v>
      </c>
      <c r="AH131" t="str">
        <f>VLOOKUP(C131,Лист1!$B$3:$P$289,15,0)</f>
        <v xml:space="preserve">SICOM3028GPT-L3F-MB-HV-S- промышленные коммутаторы 3-го уровня с широким спектром сфер применния и модульным дизайном для простоты масштабирования и расширения функционала устройства. Модели SICOM3028GPT-L3F-MB-HV-S могут иметь до 24 портов 10/100 Мбит/с и до 4 гигабитных портов. При этом возможна практически любая комбинация медных и оптических портов. 
Характеристики
Порты
Порты доступа – 24
Магистральные порты – 4
Системная производительность, протоколы и стандарты 
Стандарты: 
IEEE802.3i, IEEE802.3u, IEEE802.3ab, IEEE802.3ac, IEEE802.3ad, IEEE802.3z, IEEE802.3x, IEEE802.1p, IEEE802.1Q, IEEE802.1s, IEEE802.1X, IEC62439-6 
Протоколы 
DT-Ring, DT-Ring+, MSTP, DRP; IGMP Snooping, GMRP;
VLAN, GVRP, PVLAN;
Telnet, HTTP, HTTPS, SNMPv1/v2/v3, RMON, LLDP, Bootp, DHCP server/relay/client, DHCP Option 82;
SNTP, RTC;
SSH, SSL, TACACS+, RADIUS, ACL
ARP, Modbus TCP, QoS, LACP 
Питание
Напряжение питания 
от85 до 264 Вольт переменного тока или от 77 до 370 Вольт постоянного тока
Потребляемая мощность 
до 26 Вт (при установке только медных модулей)
до 40 Вт (при установке только оптических модулей) 
Механические характеристики
Размеры
482.6мм x 44мм x 360мм
Крепление 
19” стойка 
Класс защиты 
IP40 
Рабочая температура 
от -40 до +85С 
Температура хранения 
-40 до +85C 
Влажность 
от 5 до 95% (без конденсата) 
MTBF 
359000 часов 
Гарантия 
5 лет </v>
      </c>
    </row>
    <row r="132" spans="1:34" ht="66" hidden="1" customHeight="1" x14ac:dyDescent="0.25">
      <c r="A132" s="2">
        <v>44820</v>
      </c>
      <c r="B132">
        <f>VLOOKUP(C132,Лист1!$B$1:$N$98,2,0)</f>
        <v>8517620003</v>
      </c>
      <c r="C132" t="s">
        <v>241</v>
      </c>
      <c r="D132" s="5" t="str">
        <f>VLOOKUP(C132,Лист1!$B$2:$T$292,14,0)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132">
        <v>3</v>
      </c>
      <c r="F132" s="19">
        <v>1585.6</v>
      </c>
      <c r="G132" s="19">
        <f t="shared" si="20"/>
        <v>4756.7999999999993</v>
      </c>
      <c r="H132" t="str">
        <f>VLOOKUP(C132,Лист1!$B$1:$N$116,4,0)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132" t="s">
        <v>15</v>
      </c>
      <c r="J132" t="s">
        <v>18</v>
      </c>
      <c r="K132">
        <v>156</v>
      </c>
      <c r="L132" t="s">
        <v>10</v>
      </c>
      <c r="M132" t="s">
        <v>19</v>
      </c>
      <c r="N132" t="s">
        <v>13</v>
      </c>
      <c r="O132" t="s">
        <v>82</v>
      </c>
      <c r="P132">
        <v>10052</v>
      </c>
      <c r="Q132" t="str">
        <f>VLOOKUP(C132,Лист1!$B$1:$N$142,5,0)</f>
        <v>RU0000053245</v>
      </c>
      <c r="R132" s="4">
        <f>VLOOKUP(C132,Лист1!$B$1:$N$142,6,0)</f>
        <v>44383</v>
      </c>
      <c r="S132" s="4">
        <f>VLOOKUP(C132,Лист1!$B$1:$N$142,7,0)</f>
        <v>44383</v>
      </c>
      <c r="T132" s="4">
        <f>VLOOKUP(C132,Лист1!$B$1:$N$142,8,0)</f>
        <v>48213</v>
      </c>
      <c r="U132" s="10">
        <f>VLOOKUP(C132,Лист1!$B$1:$N$142,9,0)</f>
        <v>10</v>
      </c>
      <c r="V132" s="10">
        <f t="shared" si="17"/>
        <v>30</v>
      </c>
      <c r="W132">
        <v>24</v>
      </c>
      <c r="X132" s="1">
        <v>29.24</v>
      </c>
      <c r="Y132" s="1" t="s">
        <v>78</v>
      </c>
      <c r="Z132" s="3" t="s">
        <v>182</v>
      </c>
      <c r="AA132" s="2" t="str">
        <f>VLOOKUP(C132,Лист1!$B$1:$N$92,10,0)</f>
        <v>ЕАЭС N RU Д-CN.КА01.В.23216/20</v>
      </c>
      <c r="AB132" s="2">
        <f>VLOOKUP(C132,Лист1!$B$1:$N$92,11,0)</f>
        <v>43908</v>
      </c>
      <c r="AC132" s="2">
        <f>VLOOKUP(C132,Лист1!$B$1:$N$92,12,0)</f>
        <v>43908</v>
      </c>
      <c r="AD132" s="2">
        <f>VLOOKUP(C132,Лист1!$B$1:$N$92,13,0)</f>
        <v>45733</v>
      </c>
      <c r="AE132" t="s">
        <v>10</v>
      </c>
      <c r="AF132" t="s">
        <v>253</v>
      </c>
      <c r="AG132" t="s">
        <v>223</v>
      </c>
      <c r="AH132" t="str">
        <f>VLOOKUP(C132,Лист1!$B$3:$P$289,15,0)</f>
        <v xml:space="preserve">SICOM3028GPT-L3F-MB-HV-S- промышленные коммутаторы 3-го уровня с широким спектром сфер применния и модульным дизайном для простоты масштабирования и расширения функционала устройства. Модели SICOM3028GPT-L3F-MB-HV-S могут иметь до 24 портов 10/100 Мбит/с и до 4 гигабитных портов. При этом возможна практически любая комбинация медных и оптических портов. 
Характеристики
Порты
Порты доступа – 24
Магистральные порты – 4
Системная производительность, протоколы и стандарты 
Стандарты: 
IEEE802.3i, IEEE802.3u, IEEE802.3ab, IEEE802.3ac, IEEE802.3ad, IEEE802.3z, IEEE802.3x, IEEE802.1p, IEEE802.1Q, IEEE802.1s, IEEE802.1X, IEC62439-6 
Протоколы 
DT-Ring, DT-Ring+, MSTP, DRP; IGMP Snooping, GMRP;
VLAN, GVRP, PVLAN;
Telnet, HTTP, HTTPS, SNMPv1/v2/v3, RMON, LLDP, Bootp, DHCP server/relay/client, DHCP Option 82;
SNTP, RTC;
SSH, SSL, TACACS+, RADIUS, ACL
ARP, Modbus TCP, QoS, LACP 
Питание
Напряжение питания 
от85 до 264 Вольт переменного тока или от 77 до 370 Вольт постоянного тока
Потребляемая мощность 
до 26 Вт (при установке только медных модулей)
до 40 Вт (при установке только оптических модулей) 
Механические характеристики
Размеры
482.6мм x 44мм x 360мм
Крепление 
19” стойка 
Класс защиты 
IP40 
Рабочая температура 
от -40 до +85С 
Температура хранения 
-40 до +85C 
Влажность 
от 5 до 95% (без конденсата) 
MTBF 
359000 часов 
Гарантия 
5 лет </v>
      </c>
    </row>
    <row r="133" spans="1:34" ht="66" hidden="1" customHeight="1" x14ac:dyDescent="0.25">
      <c r="A133" s="2">
        <v>44820</v>
      </c>
      <c r="B133">
        <f>VLOOKUP(C133,Лист1!$B$1:$N$98,2,0)</f>
        <v>8517620002</v>
      </c>
      <c r="C133" s="30" t="s">
        <v>49</v>
      </c>
      <c r="D133" s="5" t="str">
        <f>VLOOKUP(C133,Лист1!$B$2:$T$292,14,0)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133">
        <v>2</v>
      </c>
      <c r="F133" s="19">
        <v>2782.4</v>
      </c>
      <c r="G133" s="19">
        <f t="shared" si="20"/>
        <v>5564.8</v>
      </c>
      <c r="H133" t="str">
        <f>VLOOKUP(C133,Лист1!$B$1:$N$116,4,0)</f>
        <v xml:space="preserve">SICOM3028GPT-L2F-MB-HV-HV-S - промышленные коммутаторы с широким спектром сфер применния и модульным дизайном для простоты масштабирования и расширения функционала устройства. 
Характеристики
Протоколы 
DT-Ring, DT-Ring+, MSTP, DRP; IGMP Snooping, GMRP;
VLAN, GVRP, PVLAN;
Telnet, HTTP, HTTPS, SNMPv1/v2/v3, RMON, LLDP, Bootp, DHCP server/relay/client, DHCP Option 82;
SNTP, PTP, RTC;
SSH, SSL, TACACS+, RADIUS, ACL; 
ARP, Modbus TCP, QoS, LACP
PRP, HSR 
Длина волны 
1310нм (одномод), 1550нм (одномод), 1310 (многомод) 
Расстояние передачи 
10~80км (одномод) , до 5 км (100M многомод) , до 2 км (1000M многомод) 
Тип коннектора 
SC, ST, FC 
Питание
Напряжение питания 
Резервированное: 220VAC/VDC (77-300VDC/85-264VAC) 
Потребляемая мощность 
менее 28 Вт (при установке только медных модулей)
менее 42 Вт (при установке только оптических модулей) 
Механические характеристики
Размеры
482.6мм x 44мм x 360мм
Крепление 
19” стойка 
Класс защиты 
IP40 
Рабочая температура 
от -40 до +85С 
Температура хранения 
-40 до +85C 
Влажность 
от 5 до 95% (без конденсата) 
MTBF 
359000 часов 
Гарантия 
5 лет </v>
      </c>
      <c r="I133" t="s">
        <v>15</v>
      </c>
      <c r="J133" t="s">
        <v>18</v>
      </c>
      <c r="K133">
        <v>156</v>
      </c>
      <c r="L133" t="s">
        <v>10</v>
      </c>
      <c r="M133" t="s">
        <v>19</v>
      </c>
      <c r="N133" t="s">
        <v>13</v>
      </c>
      <c r="O133" t="s">
        <v>82</v>
      </c>
      <c r="P133">
        <v>10052</v>
      </c>
      <c r="Q133" t="str">
        <f>VLOOKUP(C133,Лист1!$B$1:$N$142,5,0)</f>
        <v>RU0000053245</v>
      </c>
      <c r="R133" s="4">
        <f>VLOOKUP(C133,Лист1!$B$1:$N$142,6,0)</f>
        <v>44383</v>
      </c>
      <c r="S133" s="4">
        <f>VLOOKUP(C133,Лист1!$B$1:$N$142,7,0)</f>
        <v>44383</v>
      </c>
      <c r="T133" s="4">
        <f>VLOOKUP(C133,Лист1!$B$1:$N$142,8,0)</f>
        <v>48213</v>
      </c>
      <c r="U133" s="10">
        <f>VLOOKUP(C133,Лист1!$B$1:$N$142,9,0)</f>
        <v>10</v>
      </c>
      <c r="V133" s="10">
        <f t="shared" si="17"/>
        <v>20</v>
      </c>
      <c r="W133">
        <v>16</v>
      </c>
      <c r="X133" s="1">
        <v>19.52</v>
      </c>
      <c r="Y133" s="1" t="s">
        <v>78</v>
      </c>
      <c r="Z133" s="3" t="s">
        <v>182</v>
      </c>
      <c r="AA133" s="2" t="str">
        <f>VLOOKUP(C133,Лист1!$B$1:$N$92,10,0)</f>
        <v>ЕАЭС N RU Д-CN.КА01.В.23216/20</v>
      </c>
      <c r="AB133" s="2">
        <f>VLOOKUP(C133,Лист1!$B$1:$N$92,11,0)</f>
        <v>43908</v>
      </c>
      <c r="AC133" s="2">
        <f>VLOOKUP(C133,Лист1!$B$1:$N$92,12,0)</f>
        <v>43908</v>
      </c>
      <c r="AD133" s="2">
        <f>VLOOKUP(C133,Лист1!$B$1:$N$92,13,0)</f>
        <v>45733</v>
      </c>
      <c r="AE133" t="s">
        <v>10</v>
      </c>
      <c r="AF133" t="s">
        <v>253</v>
      </c>
      <c r="AG133" t="s">
        <v>223</v>
      </c>
      <c r="AH133" t="str">
        <f>VLOOKUP(C133,Лист1!$B$3:$P$289,15,0)</f>
        <v xml:space="preserve">SICOM3028GPT-L2F-MB-HV-HV-S - промышленные коммутаторы с широким спектром сфер применния и модульным дизайном для простоты масштабирования и расширения функционала устройства. 
Характеристики
Порты
Медные или оптические порты 100 Мбит/с 
до 24 
Медные или оптические гигабитные порты 
до 4 
Системная производительность
Стандарты: 
IEEE802.3i, IEEE802.3u, IEEE802.3ab, IEEE802.3ac, IEEE802.3ad, IEEE802.3z, IEEE802.3x, IEEE802.1p, IEEE802.1Q, IEEE802.1s, IEEE802.1X, IEC62439-6, 
IEC 61850-8-1 GOOSE сообщения 
Протоколы 
DT-Ring, DT-Ring+, MSTP, DRP; IGMP Snooping, GMRP;
VLAN, GVRP, PVLAN;
Telnet, HTTP, HTTPS, SNMPv1/v2/v3, RMON, LLDP, Bootp, DHCP server/relay/client, DHCP Option 82;
SNTP, PTP, RTC;
SSH, SSL, TACACS+, RADIUS, ACL; 
ARP, Modbus TCP, QoS, LACP
PRP, HSR 
Пропускная способность устройства 
9.5 Mpps 
Параметры оптических портов
Длина волны 
1310нм (одномод), 1550нм (одномод), 1310 (многомод) 
Расстояние передачи 
10~80км (одномод) , до 5 км (100M многомод) , до 2 км (1000M многомод) 
Тип коннектора 
SC, ST, FC 
Питание
Напряжение питания 
Резервированное: 220VAC/VDC (77-300VDC/85-264VAC) 
Потребляемая мощность 
менее 28 Вт (при установке только медных модулей)
менее 42 Вт (при установке только оптических модулей) 
Механические характеристики
Размеры
482.6мм x 44мм x 360мм
Крепление 
19” стойка 
Класс защиты 
IP40 
Рабочая температура 
от -40 до +85С 
Температура хранения 
-40 до +85C 
Влажность 
от 5 до 95% (без конденсата) 
MTBF 
359000 часов 
Гарантия 
5 лет </v>
      </c>
    </row>
    <row r="134" spans="1:34" ht="39.950000000000003" hidden="1" customHeight="1" x14ac:dyDescent="0.25">
      <c r="A134" s="2">
        <v>44789</v>
      </c>
      <c r="B134">
        <f>VLOOKUP(C134,Лист1!$B$1:$N$98,2,0)</f>
        <v>8517620003</v>
      </c>
      <c r="C134" t="s">
        <v>169</v>
      </c>
      <c r="D134" s="5" t="str">
        <f>VLOOKUP(C134,Лист1!$B$2:$T$292,14,0)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134">
        <v>2</v>
      </c>
      <c r="F134" s="19">
        <v>347</v>
      </c>
      <c r="G134" s="19">
        <f t="shared" si="20"/>
        <v>694</v>
      </c>
      <c r="H134" t="str">
        <f>VLOOKUP(C134,Лист1!$B$1:$N$116,4,0)</f>
        <v xml:space="preserve">SYM3000A-4SFP8T-L2-L2- гигабитные управляемые коммутаторы на DIN-рейку, разработанных для систем передачи данных в энергетике, на транспорте, в горнодобывающей промышленности и др. Коммутатор имеет до 12 гигабитных SFP разъемов и до 16 гигабитных RJ45 портов. Прочный корпус без вентилятора с гофрированной поверхностью, способность работать в широком температурном диапазоне позволяет оборудованию стабильно работать в экстремальных промышленных условиях. В данном устройстве реализована поддержка протокола синхронизации точного времени IEEE1588 PTPv2 с точностью синхронизации 100нс.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Двойной вход питания 24 Вольт постоянного тока (18-72VDC)
До 10 Вт
Механические характеристики
Размеры
66×135×107.5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v>
      </c>
      <c r="I134" t="s">
        <v>15</v>
      </c>
      <c r="J134" t="s">
        <v>18</v>
      </c>
      <c r="K134">
        <v>156</v>
      </c>
      <c r="L134" t="s">
        <v>10</v>
      </c>
      <c r="M134" t="s">
        <v>19</v>
      </c>
      <c r="N134" t="s">
        <v>13</v>
      </c>
      <c r="O134" t="s">
        <v>82</v>
      </c>
      <c r="P134">
        <v>10052</v>
      </c>
      <c r="Q134" t="str">
        <f>VLOOKUP(C134,Лист1!$B$1:$N$142,5,0)</f>
        <v>RU0000049917</v>
      </c>
      <c r="R134" s="4">
        <f>VLOOKUP(C134,Лист1!$B$1:$N$142,6,0)</f>
        <v>44099</v>
      </c>
      <c r="S134" s="4">
        <f>VLOOKUP(C134,Лист1!$B$1:$N$142,7,0)</f>
        <v>44099</v>
      </c>
      <c r="T134" s="4">
        <f>VLOOKUP(C134,Лист1!$B$1:$N$142,8,0)</f>
        <v>47848</v>
      </c>
      <c r="U134" s="10">
        <f>VLOOKUP(C134,Лист1!$B$1:$N$142,9,0)</f>
        <v>1.5</v>
      </c>
      <c r="V134" s="10">
        <f t="shared" si="17"/>
        <v>3</v>
      </c>
      <c r="W134">
        <v>3</v>
      </c>
      <c r="X134" s="1">
        <v>3.3</v>
      </c>
      <c r="Y134" s="1" t="s">
        <v>78</v>
      </c>
      <c r="Z134" s="3" t="s">
        <v>182</v>
      </c>
      <c r="AA134" s="2" t="str">
        <f>VLOOKUP(C134,Лист1!$B$1:$N$92,10,0)</f>
        <v>ЕАЭС N RU Д-CN.РА01.В.65848/21</v>
      </c>
      <c r="AB134" s="2">
        <f>VLOOKUP(C134,Лист1!$B$1:$N$92,11,0)</f>
        <v>44330</v>
      </c>
      <c r="AC134" s="2">
        <f>VLOOKUP(C134,Лист1!$B$1:$N$92,12,0)</f>
        <v>44330</v>
      </c>
      <c r="AD134" s="2">
        <f>VLOOKUP(C134,Лист1!$B$1:$N$92,13,0)</f>
        <v>46154</v>
      </c>
      <c r="AE134" t="s">
        <v>10</v>
      </c>
      <c r="AF134" t="s">
        <v>252</v>
      </c>
      <c r="AG134" t="s">
        <v>224</v>
      </c>
      <c r="AH134" t="str">
        <f>VLOOKUP(C134,Лист1!$B$3:$P$289,15,0)</f>
        <v xml:space="preserve">SYM3000A - серия гигабитных управляемых коммутаторов на DIN-рейку, разработанных для систем передачи данных в энергетике, на транспорте, в горнодобывающей промышленности и др. Коммутатор имеет до 12 гигабитных SFP разъемов и до 16 гигабитных RJ45 портов. Прочный корпус без вентилятора с гофрированной поверхностью, способность работать в широком температурном диапазоне позволяет оборудованию стабильно работать в экстремальных промышленных условиях. В данном устройстве реализована поддержка протокола синхронизации точного времени IEEE1588 PTPv2 с точностью синхронизации 100нс.
Характеристики
Порты
10/100Base-TX Ethernet RJ45
8 шт.
100Base-X Ethernet SFP
4 шт.
Системная производительность
Стандарты: 
IEEE802.3i, IEEE802.3u, IEEE802.3ab, IEEE802.3z, IEEE 802.3ad, IEEE 802.1d, IEEE 802.1w, IEEE802.3x, IEEE802.1p, IEEE802.1Q, IEEE802.1s, IEEE 802.1x, IEEE 802.1ab, IEEE1588 V2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Двойной вход питания 24 Вольт постоянного тока (18-72VDC)
До 10 Вт
Механические характеристики
Размеры
66*135*107.5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v>
      </c>
    </row>
    <row r="135" spans="1:34" ht="39.950000000000003" hidden="1" customHeight="1" x14ac:dyDescent="0.25">
      <c r="A135" s="2">
        <v>44789</v>
      </c>
      <c r="B135">
        <f>VLOOKUP(C135,Лист1!$B$1:$N$98,2,0)</f>
        <v>8517620003</v>
      </c>
      <c r="C135" t="s">
        <v>217</v>
      </c>
      <c r="D135" s="5" t="str">
        <f>VLOOKUP(C135,Лист1!$B$2:$T$292,14,0)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135">
        <v>42</v>
      </c>
      <c r="F135" s="19">
        <v>215</v>
      </c>
      <c r="G135" s="19">
        <f t="shared" si="20"/>
        <v>9030</v>
      </c>
      <c r="H135" t="str">
        <f>VLOOKUP(C135,Лист1!$B$1:$N$116,4,0)</f>
        <v xml:space="preserve">SYM3000A-LITE-8T-L3-L3 - промышленные коммутаторы с пониженным потреблением питания, которые могут применяться в ветроэнергетике, распределительных сетях, подстанциях, энергетических SCADA-системах, системах водоочистки, на автомагистралях, в металлургии и других сферах.
Характеристики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Двойной вход питания 24 Вольт постоянного тока 
До 7 Вт
Механические характеристики
Размеры
53.6 x 135 x 106.5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v>
      </c>
      <c r="I135" t="s">
        <v>15</v>
      </c>
      <c r="J135" t="s">
        <v>18</v>
      </c>
      <c r="K135">
        <v>156</v>
      </c>
      <c r="L135" t="s">
        <v>10</v>
      </c>
      <c r="M135" t="s">
        <v>19</v>
      </c>
      <c r="N135" t="s">
        <v>13</v>
      </c>
      <c r="O135" t="s">
        <v>82</v>
      </c>
      <c r="P135">
        <v>10052</v>
      </c>
      <c r="Q135" t="str">
        <f>VLOOKUP(C135,Лист1!$B$1:$N$142,5,0)</f>
        <v>RU0000055090</v>
      </c>
      <c r="R135" s="4">
        <f>VLOOKUP(C135,Лист1!$B$1:$N$142,6,0)</f>
        <v>44543</v>
      </c>
      <c r="S135" s="4">
        <f>VLOOKUP(C135,Лист1!$B$1:$N$142,7,0)</f>
        <v>44543</v>
      </c>
      <c r="T135" s="4">
        <f>VLOOKUP(C135,Лист1!$B$1:$N$142,8,0)</f>
        <v>48213</v>
      </c>
      <c r="U135" s="10">
        <f>VLOOKUP(C135,Лист1!$B$1:$N$142,9,0)</f>
        <v>0.84</v>
      </c>
      <c r="V135" s="10">
        <f t="shared" si="17"/>
        <v>35.28</v>
      </c>
      <c r="W135">
        <v>42</v>
      </c>
      <c r="X135" s="1">
        <v>46.52</v>
      </c>
      <c r="Y135" s="1" t="s">
        <v>78</v>
      </c>
      <c r="Z135" s="3" t="s">
        <v>182</v>
      </c>
      <c r="AA135" s="2" t="str">
        <f>VLOOKUP(C135,Лист1!$B$1:$N$92,10,0)</f>
        <v>ЕАЭС N RU Д-CN.РА03.В.59715/21</v>
      </c>
      <c r="AB135" s="2">
        <f>VLOOKUP(C135,Лист1!$B$1:$N$92,11,0)</f>
        <v>44547</v>
      </c>
      <c r="AC135" s="2">
        <f>VLOOKUP(C135,Лист1!$B$1:$N$92,12,0)</f>
        <v>44547</v>
      </c>
      <c r="AD135" s="2">
        <f>VLOOKUP(C135,Лист1!$B$1:$N$92,13,0)</f>
        <v>46371</v>
      </c>
      <c r="AE135" t="s">
        <v>10</v>
      </c>
      <c r="AF135" t="s">
        <v>252</v>
      </c>
      <c r="AG135" t="s">
        <v>224</v>
      </c>
      <c r="AH135" t="str">
        <f>VLOOKUP(C135,Лист1!$B$3:$P$289,15,0)</f>
        <v xml:space="preserve">SYM3000A-LITE-8T-L3-L3 - промышленные коммутаторы с пониженным потреблением питания, которые могут применяться в ветроэнергетике, распределительных сетях, подстанциях, энергетических SCADA-системах, системах водоочистки, на автомагистралях, в металлургии и других сферах.
Характеристики
Порты
10/100Base-TX 
8
Системная производительность
Стандарты: 
IEEE 802.3i, IEEE 802.3u, IEEE 802.3ac, IEEE802.3ad, IEEE 802.3z, IEEE 802.3x, IEEE 802.1p, IEEE 802.1Q, IEEE 802.1s, IEEE 802.1X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Двойной вход питания 24 Вольт постоянного тока 
До 7 Вт
Механические характеристики
Размеры
53.6 x 135 x 106.5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v>
      </c>
    </row>
    <row r="136" spans="1:34" ht="51.75" hidden="1" customHeight="1" x14ac:dyDescent="0.25">
      <c r="A136" s="2">
        <v>44789</v>
      </c>
      <c r="B136">
        <f>VLOOKUP(C136,Лист1!$B$1:$N$98,2,0)</f>
        <v>8517620003</v>
      </c>
      <c r="C136" t="s">
        <v>243</v>
      </c>
      <c r="D136" s="5" t="str">
        <f>VLOOKUP(C136,Лист1!$B$2:$T$292,14,0)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136">
        <v>14</v>
      </c>
      <c r="F136" s="19">
        <v>48</v>
      </c>
      <c r="G136" s="19">
        <f t="shared" si="20"/>
        <v>672</v>
      </c>
      <c r="H136" t="str">
        <f>VLOOKUP(C136,Лист1!$B$1:$N$116,4,0)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136" t="s">
        <v>15</v>
      </c>
      <c r="J136" t="s">
        <v>18</v>
      </c>
      <c r="K136">
        <v>156</v>
      </c>
      <c r="L136" t="s">
        <v>10</v>
      </c>
      <c r="M136" t="s">
        <v>19</v>
      </c>
      <c r="N136" t="s">
        <v>13</v>
      </c>
      <c r="O136" t="s">
        <v>82</v>
      </c>
      <c r="P136">
        <v>10052</v>
      </c>
      <c r="Q136" t="str">
        <f>VLOOKUP(C136,Лист1!$B$1:$N$142,5,0)</f>
        <v>RU0000056712</v>
      </c>
      <c r="R136" s="4">
        <f>VLOOKUP(C136,Лист1!$B$1:$N$142,6,0)</f>
        <v>44761</v>
      </c>
      <c r="S136" s="4">
        <f>VLOOKUP(C136,Лист1!$B$1:$N$142,7,0)</f>
        <v>44761</v>
      </c>
      <c r="T136" s="4">
        <f>VLOOKUP(C136,Лист1!$B$1:$N$142,8,0)</f>
        <v>48579</v>
      </c>
      <c r="U136" s="10">
        <f>VLOOKUP(C136,Лист1!$B$1:$N$142,9,0)</f>
        <v>0.2</v>
      </c>
      <c r="V136" s="10">
        <f t="shared" si="17"/>
        <v>2.8000000000000003</v>
      </c>
      <c r="W136">
        <v>2.8</v>
      </c>
      <c r="X136" s="1">
        <v>3.0799999999999996</v>
      </c>
      <c r="Y136" s="1" t="s">
        <v>78</v>
      </c>
      <c r="Z136" s="3" t="s">
        <v>182</v>
      </c>
      <c r="AA136" s="2" t="str">
        <f>VLOOKUP(C136,Лист1!$B$1:$N$92,10,0)</f>
        <v>ЕАЭС N RU Д-CN.РА06.В.78311/22</v>
      </c>
      <c r="AB136" s="2">
        <f>VLOOKUP(C136,Лист1!$B$1:$N$92,11,0)</f>
        <v>44826</v>
      </c>
      <c r="AC136" s="2">
        <f>VLOOKUP(C136,Лист1!$B$1:$N$92,12,0)</f>
        <v>44826</v>
      </c>
      <c r="AD136" s="2">
        <f>VLOOKUP(C136,Лист1!$B$1:$N$92,13,0)</f>
        <v>46651</v>
      </c>
      <c r="AE136" t="s">
        <v>10</v>
      </c>
      <c r="AF136" t="s">
        <v>252</v>
      </c>
      <c r="AG136" t="s">
        <v>224</v>
      </c>
      <c r="AH136" t="str">
        <f>VLOOKUP(C136,Лист1!$B$3:$P$289,15,0)</f>
        <v xml:space="preserve">OPAL5L-5T-LV-LV - промышленные коммутаторы с пониженным потреблением питания, которые могут применяться в ветроэнергетике, распределительных сетях, подстанциях, энергетических SCADA-системах, системах водоочистки, на автомагистралях, в металлургии и других сферах.
Характеристики
Порты
10/100Base-TX 
5
Системная производительность
Стандарты: 
IEEE 802.3i, IEEE 802.3u
Пропускная способность устройства 
5.3 Mpps 
Питание
Напряжение питания 
Двойной вход питания 24 Вольт постоянного тока 
До 7 Вт
Механические характеристики
Размеры
29,6 x 114,5 x 68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v>
      </c>
    </row>
    <row r="137" spans="1:34" ht="39.950000000000003" hidden="1" customHeight="1" x14ac:dyDescent="0.25">
      <c r="A137" s="2">
        <v>44789</v>
      </c>
      <c r="B137">
        <f>VLOOKUP(C137,Лист1!$B$1:$N$98,2,0)</f>
        <v>8517620003</v>
      </c>
      <c r="C137" s="27" t="s">
        <v>208</v>
      </c>
      <c r="D137" s="5" t="str">
        <f>VLOOKUP(C137,Лист1!$B$2:$T$292,14,0)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137">
        <v>3</v>
      </c>
      <c r="F137" s="19">
        <v>320</v>
      </c>
      <c r="G137" s="19">
        <f t="shared" si="20"/>
        <v>960</v>
      </c>
      <c r="H137" t="str">
        <f>VLOOKUP(C137,Лист1!$B$1:$N$116,4,0)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137" t="s">
        <v>15</v>
      </c>
      <c r="J137" t="s">
        <v>18</v>
      </c>
      <c r="K137">
        <v>156</v>
      </c>
      <c r="L137" t="s">
        <v>10</v>
      </c>
      <c r="M137" t="s">
        <v>19</v>
      </c>
      <c r="N137" t="s">
        <v>13</v>
      </c>
      <c r="O137" t="s">
        <v>82</v>
      </c>
      <c r="P137">
        <v>10052</v>
      </c>
      <c r="Q137" t="str">
        <f>VLOOKUP(C137,Лист1!$B$1:$N$142,5,0)</f>
        <v>RU0000055090</v>
      </c>
      <c r="R137" s="4">
        <f>VLOOKUP(C137,Лист1!$B$1:$N$142,6,0)</f>
        <v>44543</v>
      </c>
      <c r="S137" s="4">
        <f>VLOOKUP(C137,Лист1!$B$1:$N$142,7,0)</f>
        <v>44543</v>
      </c>
      <c r="T137" s="4">
        <f>VLOOKUP(C137,Лист1!$B$1:$N$142,8,0)</f>
        <v>48213</v>
      </c>
      <c r="U137" s="10">
        <f>VLOOKUP(C137,Лист1!$B$1:$N$142,9,0)</f>
        <v>0.84</v>
      </c>
      <c r="V137" s="10">
        <f t="shared" si="17"/>
        <v>2.52</v>
      </c>
      <c r="W137">
        <v>3</v>
      </c>
      <c r="X137" s="1">
        <v>3.3</v>
      </c>
      <c r="Y137" s="1" t="s">
        <v>78</v>
      </c>
      <c r="Z137" s="3" t="s">
        <v>182</v>
      </c>
      <c r="AA137" s="2" t="str">
        <f>VLOOKUP(C137,Лист1!$B$1:$N$92,10,0)</f>
        <v>ЕАЭС N RU Д-CN.РА03.В.59715/21</v>
      </c>
      <c r="AB137" s="2">
        <f>VLOOKUP(C137,Лист1!$B$1:$N$92,11,0)</f>
        <v>44547</v>
      </c>
      <c r="AC137" s="2">
        <f>VLOOKUP(C137,Лист1!$B$1:$N$92,12,0)</f>
        <v>44547</v>
      </c>
      <c r="AD137" s="2">
        <f>VLOOKUP(C137,Лист1!$B$1:$N$92,13,0)</f>
        <v>46371</v>
      </c>
      <c r="AE137" t="s">
        <v>10</v>
      </c>
      <c r="AF137" t="s">
        <v>252</v>
      </c>
      <c r="AG137" t="s">
        <v>224</v>
      </c>
      <c r="AH137" t="str">
        <f>VLOOKUP(C137,Лист1!$B$3:$P$289,15,0)</f>
        <v xml:space="preserve">SYM3000A-LITE-2S6T-SC40-L3-L3 - промышленные коммутаторы с пониженным потреблением питания, которые могут применяться в ветроэнергетике, распределительных сетях, подстанциях, энергетических SCADA-системах, системах водоочистки, на автомагистралях, в металлургии и других сферах.
Характеристики
Порты
10/100Base-TX 
6 
100Base-FX (одномод, 1310, SC) 
2 
Системная производительность
Стандарты: 
IEEE 802.3i, IEEE 802.3u, IEEE 802.3ac, IEEE802.3ad, IEEE 802.3z, IEEE 802.3x, IEEE 802.1p, IEEE 802.1Q, IEEE 802.1s, IEEE 802.1X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Двойной вход питания 24 Вольт постоянного тока 
До 7 Вт
Механические характеристики
Размеры
53.6 x 135 x 106.5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v>
      </c>
    </row>
    <row r="138" spans="1:34" ht="63.75" hidden="1" customHeight="1" x14ac:dyDescent="0.25">
      <c r="A138" s="2">
        <v>44789</v>
      </c>
      <c r="B138">
        <f>VLOOKUP(C138,Лист1!$B$1:$N$98,2,0)</f>
        <v>8517620003</v>
      </c>
      <c r="C138" s="27" t="s">
        <v>247</v>
      </c>
      <c r="D138" s="5" t="str">
        <f>VLOOKUP(C138,Лист1!$B$2:$T$292,14,0)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138">
        <v>3</v>
      </c>
      <c r="F138" s="19">
        <v>320</v>
      </c>
      <c r="G138" s="19">
        <f t="shared" si="20"/>
        <v>960</v>
      </c>
      <c r="H138" t="str">
        <f>VLOOKUP(C138,Лист1!$B$1:$N$116,4,0)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138" t="s">
        <v>15</v>
      </c>
      <c r="J138" t="s">
        <v>18</v>
      </c>
      <c r="K138">
        <v>156</v>
      </c>
      <c r="L138" t="s">
        <v>10</v>
      </c>
      <c r="M138" t="s">
        <v>19</v>
      </c>
      <c r="N138" t="s">
        <v>13</v>
      </c>
      <c r="O138" t="s">
        <v>82</v>
      </c>
      <c r="P138">
        <v>10052</v>
      </c>
      <c r="Q138" t="str">
        <f>VLOOKUP(C138,Лист1!$B$1:$N$142,5,0)</f>
        <v>RU0000055090</v>
      </c>
      <c r="R138" s="4">
        <f>VLOOKUP(C138,Лист1!$B$1:$N$142,6,0)</f>
        <v>44543</v>
      </c>
      <c r="S138" s="4">
        <f>VLOOKUP(C138,Лист1!$B$1:$N$142,7,0)</f>
        <v>44543</v>
      </c>
      <c r="T138" s="4">
        <f>VLOOKUP(C138,Лист1!$B$1:$N$142,8,0)</f>
        <v>48213</v>
      </c>
      <c r="U138" s="10">
        <f>VLOOKUP(C138,Лист1!$B$1:$N$142,9,0)</f>
        <v>0.84</v>
      </c>
      <c r="V138" s="10">
        <f t="shared" si="17"/>
        <v>2.52</v>
      </c>
      <c r="W138">
        <v>3</v>
      </c>
      <c r="X138" s="1">
        <v>3.3</v>
      </c>
      <c r="Y138" s="1" t="s">
        <v>78</v>
      </c>
      <c r="Z138" s="3" t="s">
        <v>182</v>
      </c>
      <c r="AA138" s="2" t="str">
        <f>VLOOKUP(C138,Лист1!$B$1:$N$92,10,0)</f>
        <v>ЕАЭС N RU Д-CN.РА03.В.59715/21</v>
      </c>
      <c r="AB138" s="2">
        <f>VLOOKUP(C138,Лист1!$B$1:$N$92,11,0)</f>
        <v>44547</v>
      </c>
      <c r="AC138" s="2">
        <f>VLOOKUP(C138,Лист1!$B$1:$N$92,12,0)</f>
        <v>44547</v>
      </c>
      <c r="AD138" s="2">
        <f>VLOOKUP(C138,Лист1!$B$1:$N$92,13,0)</f>
        <v>46371</v>
      </c>
      <c r="AE138" t="s">
        <v>10</v>
      </c>
      <c r="AF138" t="s">
        <v>252</v>
      </c>
      <c r="AG138" t="s">
        <v>224</v>
      </c>
      <c r="AH138" t="str">
        <f>VLOOKUP(C138,Лист1!$B$3:$P$289,15,0)</f>
        <v xml:space="preserve">SYM3000A-LITE-2M6T-SC05-L3-L3 - промышленные коммутаторы с пониженным потреблением питания, которые могут применяться в ветроэнергетике, распределительных сетях, подстанциях, энергетических SCADA-системах, системах водоочистки, на автомагистралях, в металлургии и других сферах.
Характеристики
Порты
10/100Base-TX 
6 
100Base-FX (многомод, 850, SC) 
2 
Системная производительность
Стандарты: 
IEEE 802.3i, IEEE 802.3u, IEEE 802.3ac, IEEE802.3ad, IEEE 802.3z, IEEE 802.3x, IEEE 802.1p, IEEE 802.1Q, IEEE 802.1s, IEEE 802.1X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Двойной вход питания 24 Вольт постоянного тока 
До 7 Вт
Механические характеристики
Размеры
53.6 x 135 x 106.5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v>
      </c>
    </row>
    <row r="139" spans="1:34" ht="39.950000000000003" hidden="1" customHeight="1" x14ac:dyDescent="0.25">
      <c r="A139" s="2">
        <v>44789</v>
      </c>
      <c r="B139">
        <f>VLOOKUP(C139,Лист1!$B$1:$N$98,2,0)</f>
        <v>8517620003</v>
      </c>
      <c r="C139" t="s">
        <v>248</v>
      </c>
      <c r="D139" s="5" t="str">
        <f>VLOOKUP(C139,Лист1!$B$2:$T$292,14,0)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139">
        <v>9</v>
      </c>
      <c r="F139" s="19">
        <v>515</v>
      </c>
      <c r="G139" s="19">
        <f t="shared" si="20"/>
        <v>4635</v>
      </c>
      <c r="H139" t="str">
        <f>VLOOKUP(C139,Лист1!$B$1:$N$116,4,0)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139" t="s">
        <v>15</v>
      </c>
      <c r="J139" t="s">
        <v>18</v>
      </c>
      <c r="K139">
        <v>156</v>
      </c>
      <c r="L139" t="s">
        <v>10</v>
      </c>
      <c r="M139" t="s">
        <v>19</v>
      </c>
      <c r="N139" t="s">
        <v>13</v>
      </c>
      <c r="O139" t="s">
        <v>82</v>
      </c>
      <c r="P139">
        <v>10052</v>
      </c>
      <c r="Q139" t="str">
        <f>VLOOKUP(C139,Лист1!$B$1:$N$142,5,0)</f>
        <v>RU0000051996</v>
      </c>
      <c r="R139" s="4">
        <f>VLOOKUP(C139,Лист1!$B$1:$N$142,6,0)</f>
        <v>44284</v>
      </c>
      <c r="S139" s="4">
        <f>VLOOKUP(C139,Лист1!$B$1:$N$142,7,0)</f>
        <v>44284</v>
      </c>
      <c r="T139" s="4">
        <f>VLOOKUP(C139,Лист1!$B$1:$N$142,8,0)</f>
        <v>47848</v>
      </c>
      <c r="U139" s="10">
        <f>VLOOKUP(C139,Лист1!$B$1:$N$142,9,0)</f>
        <v>1.25</v>
      </c>
      <c r="V139" s="10">
        <f t="shared" si="17"/>
        <v>11.25</v>
      </c>
      <c r="W139">
        <v>13.5</v>
      </c>
      <c r="X139" s="1">
        <v>14.85</v>
      </c>
      <c r="Y139" s="1" t="s">
        <v>78</v>
      </c>
      <c r="Z139" s="3" t="s">
        <v>182</v>
      </c>
      <c r="AA139" s="2" t="str">
        <f>VLOOKUP(C139,Лист1!$B$1:$N$92,10,0)</f>
        <v>ЕАЭС N RU Д-CN.РА04.В.11802/22</v>
      </c>
      <c r="AB139" s="2">
        <f>VLOOKUP(C139,Лист1!$B$1:$N$92,11,0)</f>
        <v>44720</v>
      </c>
      <c r="AC139" s="2">
        <f>VLOOKUP(C139,Лист1!$B$1:$N$92,12,0)</f>
        <v>44720</v>
      </c>
      <c r="AD139" s="2">
        <f>VLOOKUP(C139,Лист1!$B$1:$N$92,13,0)</f>
        <v>46545</v>
      </c>
      <c r="AE139" t="s">
        <v>10</v>
      </c>
      <c r="AF139" t="s">
        <v>252</v>
      </c>
      <c r="AG139" t="s">
        <v>224</v>
      </c>
      <c r="AH139" t="str">
        <f>VLOOKUP(C139,Лист1!$B$3:$P$289,15,0)</f>
        <v xml:space="preserve">Устройство Ruby3A от компании Kyland поддерживает одновременно протоколы резервирования High Availability Seamless Redundancy (HSR) и Parallel Redundancy Protocol (PRP). Ruby3обеспечивает бесперебойную работу при любом возможном сбое в сети. Это достигается одновременной дублированной передачей данных по независимым маршрутам для обеспечения резервирования на уровне каналов.
Характеристики
Пароли – Многоуровневые пароли для защиты от неавторизованного доступа
SSH / SSL – Расширение парольной защиты, добавляющая 128-битное шифрование данных при передаче по сети
Защита MAC адресов – Возможность защищать порты так, чтобы доступ был только у устройств с авторизованными MAC адресами
RADIUS – Централизованная аутентификация с использованием хэш-функции MD5
SNMPv3 – Шифрование аутентификационной информации, передаваемой по сети (CBC-DES с ключом 56
Рабочая температура: от –40°C до +85°C
Нет движущихся частей
Веб, Telnet, CLI
SNMP v1/v2/v3 (56-бит шифрование)
Удалённый мониторинг (RMON)
Широкий набор функций диагностики и протоколирования
Поддержка IEC 62439 MIB
Потребляемое напряжение: 100-240VAC, 50/60Гц; 110-220VDC(85-264Вольт переменного тока или 77-300Вольт постоянного тока)
Клеммная колодка для надёжных и удобных подключений кабелей
Размеры(ДхВхШ): 66×135×107.5 мм 
</v>
      </c>
    </row>
    <row r="140" spans="1:34" ht="39.950000000000003" hidden="1" customHeight="1" x14ac:dyDescent="0.25">
      <c r="A140" s="2">
        <v>44789</v>
      </c>
      <c r="B140">
        <f>VLOOKUP(C140,Лист1!$B$1:$N$98,2,0)</f>
        <v>8517620003</v>
      </c>
      <c r="C140" s="27" t="s">
        <v>137</v>
      </c>
      <c r="D140" s="5" t="str">
        <f>VLOOKUP(C140,Лист1!$B$2:$T$292,14,0)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140">
        <v>1</v>
      </c>
      <c r="F140" s="19">
        <v>515</v>
      </c>
      <c r="G140" s="19">
        <f t="shared" si="20"/>
        <v>515</v>
      </c>
      <c r="H140" t="str">
        <f>VLOOKUP(C140,Лист1!$B$1:$N$116,4,0)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140" t="s">
        <v>15</v>
      </c>
      <c r="J140" t="s">
        <v>18</v>
      </c>
      <c r="K140">
        <v>156</v>
      </c>
      <c r="L140" t="s">
        <v>10</v>
      </c>
      <c r="M140" t="s">
        <v>19</v>
      </c>
      <c r="N140" t="s">
        <v>13</v>
      </c>
      <c r="O140" t="s">
        <v>82</v>
      </c>
      <c r="P140">
        <v>10052</v>
      </c>
      <c r="Q140" t="str">
        <f>VLOOKUP(C140,Лист1!$B$1:$N$142,5,0)</f>
        <v>RU0000051996</v>
      </c>
      <c r="R140" s="4">
        <f>VLOOKUP(C140,Лист1!$B$1:$N$142,6,0)</f>
        <v>44284</v>
      </c>
      <c r="S140" s="4">
        <f>VLOOKUP(C140,Лист1!$B$1:$N$142,7,0)</f>
        <v>44284</v>
      </c>
      <c r="T140" s="4">
        <f>VLOOKUP(C140,Лист1!$B$1:$N$142,8,0)</f>
        <v>47848</v>
      </c>
      <c r="U140" s="10">
        <f>VLOOKUP(C140,Лист1!$B$1:$N$142,9,0)</f>
        <v>1.25</v>
      </c>
      <c r="V140" s="10">
        <f t="shared" si="17"/>
        <v>1.25</v>
      </c>
      <c r="W140">
        <v>1.5</v>
      </c>
      <c r="X140" s="1">
        <v>1.65</v>
      </c>
      <c r="Y140" s="1" t="s">
        <v>78</v>
      </c>
      <c r="Z140" s="3" t="s">
        <v>182</v>
      </c>
      <c r="AA140" s="2" t="str">
        <f>VLOOKUP(C140,Лист1!$B$1:$N$92,10,0)</f>
        <v>ЕАЭС N RU Д-CN.РА01.В.32748/21</v>
      </c>
      <c r="AB140" s="2">
        <f>VLOOKUP(C140,Лист1!$B$1:$N$92,11,0)</f>
        <v>44309</v>
      </c>
      <c r="AC140" s="2">
        <f>VLOOKUP(C140,Лист1!$B$1:$N$92,12,0)</f>
        <v>44309</v>
      </c>
      <c r="AD140" s="2">
        <f>VLOOKUP(C140,Лист1!$B$1:$N$92,13,0)</f>
        <v>46134</v>
      </c>
      <c r="AE140" t="s">
        <v>10</v>
      </c>
      <c r="AF140" t="s">
        <v>252</v>
      </c>
      <c r="AG140" t="s">
        <v>224</v>
      </c>
      <c r="AH140" t="str">
        <f>VLOOKUP(C140,Лист1!$B$3:$P$289,15,0)</f>
        <v xml:space="preserve">RubySYM3A-3G-L2-L2 -УСТРОЙСТВО RUBY3A ОТ КОМПАНИИ KYLAND ПОДДЕРЖИВАЕТ ОДНОВРЕМЕННО ПРОТОКОЛЫ РЕЗЕРВИРОВАНИЯ HIGH AVAILABILITY SEAMLESS REDUNDANCY (HSR) И PARALLEL REDUNDANCY PROTOCOL (PRP). RUBY3ОБЕСПЕЧИВАЕТ БЕСПЕРЕБОЙНУЮ РАБОТУ ПРИ ЛЮБОМ ВОЗМОЖНОМ СБОЕ В СЕТИ. ЭТО ДОСТИГАЕТСЯ ОДНОВРЕМЕННОЙ ДУБЛИРОВАННОЙ ПЕРЕДАЧЕЙ ДАННЫХ ПО НЕЗАВИСИМЫМ МАРШРУТАМ ДЛЯ ОБЕСПЕЧЕНИЯ РЕЗЕРВИРОВАНИЯ НА УРОВНЕ КАНАЛОВ.  
Характеристики
•	Пароли – Многоуровневые пароли для защиты от неавторизованного доступа
•	SSH / SSL – Расширение парольной защиты, добавляющая 128-битное шифрование данных при передаче по сети
•	Защита MAC адресов – Возможность защищать порты так, чтобы доступ был только у устройств с авторизованными MAC адресами
•	RADIUS – Централизованная аутентификация с использованием хэш-функции MD5
•	SNMPv3 – Шифрование аутентификационной информации, передаваемой по сети (CBC-DES с ключом 56 бит)
•	SSL – Веб-управление с использованием шифрования (128 битный ключ)
•	Защита от ЭМИ и скачков напряжений
o	IEC 62439-3 PRP
o	IEEE 1613 (работа на электроподстанциях)
o	IEC 61850-3 (работа на электроподстанциях)
•	Рабочая температура: от –40°C до +85°C
•	Нет движущихся частей
•	Веб, Telnet, CLI
•	SNMP v1/v2/v3 (56-бит шифрование)
•	Удалённый мониторинг (RMON)
•	Широкий набор функций диагностики и протоколирования
•	Поддержка IEC 62439 MIB
•	Потребляемое напряжение: 24-48VDC (18-72Вольт постоянного тока)
•	Клеммная колодка для надёжных и удобных подключений кабелей
•	Размеры(ДхВхШ): 66*135*107.5 мм 
</v>
      </c>
    </row>
    <row r="141" spans="1:34" ht="39.950000000000003" hidden="1" customHeight="1" x14ac:dyDescent="0.25">
      <c r="A141" s="2">
        <v>44833</v>
      </c>
      <c r="B141">
        <f>VLOOKUP(C141,Лист1!$B$1:$N$98,2,0)</f>
        <v>8517620003</v>
      </c>
      <c r="C141" s="27" t="s">
        <v>254</v>
      </c>
      <c r="D141" s="5" t="str">
        <f>VLOOKUP(C141,Лист1!$B$2:$T$292,14,0)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консольным кабелем.</v>
      </c>
      <c r="E141">
        <v>15</v>
      </c>
      <c r="F141" s="19">
        <v>347</v>
      </c>
      <c r="G141" s="19">
        <f t="shared" si="20"/>
        <v>5205</v>
      </c>
      <c r="H141" t="str">
        <f>VLOOKUP(C141,Лист1!$B$1:$N$116,4,0)</f>
        <v xml:space="preserve">SYM3000A-LITE-2GX8T-L3-L3 -  - промышленные коммутаторы с пониженным потреблением питания, которые могут применяться в ветроэнергетике, распределительных сетях, подстанциях, энергетических SCADA-системах, системах водоочистки, на автомагистралях, в металлургии и других сферах.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Двойной вход питания 24 Вольт постоянного тока 
До 7 Вт
Механические характеристики
Размеры
53.6 x 135 x 106.5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v>
      </c>
      <c r="I141" t="s">
        <v>15</v>
      </c>
      <c r="J141" t="s">
        <v>18</v>
      </c>
      <c r="K141">
        <v>156</v>
      </c>
      <c r="L141" t="s">
        <v>10</v>
      </c>
      <c r="M141" t="s">
        <v>19</v>
      </c>
      <c r="N141" t="s">
        <v>13</v>
      </c>
      <c r="O141" t="s">
        <v>82</v>
      </c>
      <c r="P141">
        <v>10052</v>
      </c>
      <c r="Q141" t="str">
        <f>VLOOKUP(C141,Лист1!$B$1:$N$142,5,0)</f>
        <v>RU0000055090</v>
      </c>
      <c r="R141" s="4">
        <f>VLOOKUP(C141,Лист1!$B$1:$N$142,6,0)</f>
        <v>44543</v>
      </c>
      <c r="S141" s="4">
        <f>VLOOKUP(C141,Лист1!$B$1:$N$142,7,0)</f>
        <v>44543</v>
      </c>
      <c r="T141" s="4">
        <f>VLOOKUP(C141,Лист1!$B$1:$N$142,8,0)</f>
        <v>48213</v>
      </c>
      <c r="U141" s="10">
        <f>VLOOKUP(C141,Лист1!$B$1:$N$142,9,0)</f>
        <v>0.84</v>
      </c>
      <c r="V141" s="10">
        <f t="shared" si="17"/>
        <v>12.6</v>
      </c>
      <c r="W141">
        <v>17</v>
      </c>
      <c r="X141" s="1">
        <v>19.600000000000001</v>
      </c>
      <c r="Y141" s="1" t="s">
        <v>78</v>
      </c>
      <c r="Z141" s="3" t="s">
        <v>182</v>
      </c>
      <c r="AA141" s="2" t="str">
        <f>VLOOKUP(C141,Лист1!$B$1:$N$92,10,0)</f>
        <v>ЕАЭС N RU Д-CN.РА03.В.59715/21</v>
      </c>
      <c r="AB141" s="2">
        <f>VLOOKUP(C141,Лист1!$B$1:$N$92,11,0)</f>
        <v>44547</v>
      </c>
      <c r="AC141" s="2">
        <f>VLOOKUP(C141,Лист1!$B$1:$N$92,12,0)</f>
        <v>44547</v>
      </c>
      <c r="AD141" s="2">
        <f>VLOOKUP(C141,Лист1!$B$1:$N$92,13,0)</f>
        <v>46371</v>
      </c>
      <c r="AE141" t="s">
        <v>10</v>
      </c>
      <c r="AF141" t="s">
        <v>263</v>
      </c>
      <c r="AG141" t="s">
        <v>223</v>
      </c>
      <c r="AH141" t="str">
        <f>VLOOKUP(C141,Лист1!$B$3:$P$289,15,0)</f>
        <v xml:space="preserve">SYM3000A-LITE-2GX8T-L3-L3 - промышленные коммутаторы с пониженным потреблением питания, которые могут применяться в ветроэнергетике, распределительных сетях, подстанциях, энергетических SCADA-системах, системах водоочистки, на автомагистралях, в металлургии и других сферах.
Характеристики
Порты
10/100Base-TX 
8
100/1000Base-X SFP
2 
Системная производительность
Стандарты: 
IEEE 802.3i, IEEE 802.3u, IEEE 802.3ac, IEEE802.3ad, IEEE 802.3z, IEEE 802.3x, IEEE 802.1p, IEEE 802.1Q, IEEE 802.1s, IEEE 802.1X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Двойной вход питания 24 Вольт постоянного тока 
До 7 Вт
Механические характеристики
Размеры
53.6 x 135 x 106.5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v>
      </c>
    </row>
    <row r="142" spans="1:34" ht="39.950000000000003" hidden="1" customHeight="1" x14ac:dyDescent="0.25">
      <c r="A142" s="2">
        <v>44833</v>
      </c>
      <c r="B142">
        <f>VLOOKUP(C142,Лист1!$B$1:$N$98,2,0)</f>
        <v>8517620003</v>
      </c>
      <c r="C142" s="27" t="s">
        <v>256</v>
      </c>
      <c r="D142" s="5" t="str">
        <f>VLOOKUP(C142,Лист1!$B$2:$T$292,14,0)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консольным кабелем.</v>
      </c>
      <c r="E142">
        <v>4</v>
      </c>
      <c r="F142" s="19">
        <v>299</v>
      </c>
      <c r="G142" s="19">
        <f t="shared" si="20"/>
        <v>1196</v>
      </c>
      <c r="H142" t="str">
        <f>VLOOKUP(C142,Лист1!$B$1:$N$116,4,0)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142" t="s">
        <v>15</v>
      </c>
      <c r="J142" t="s">
        <v>18</v>
      </c>
      <c r="K142">
        <v>156</v>
      </c>
      <c r="L142" t="s">
        <v>10</v>
      </c>
      <c r="M142" t="s">
        <v>19</v>
      </c>
      <c r="N142" t="s">
        <v>13</v>
      </c>
      <c r="O142" t="s">
        <v>82</v>
      </c>
      <c r="P142">
        <v>10052</v>
      </c>
      <c r="Q142" t="str">
        <f>VLOOKUP(C142,Лист1!$B$1:$N$142,5,0)</f>
        <v>RU0000055090</v>
      </c>
      <c r="R142" s="4">
        <f>VLOOKUP(C142,Лист1!$B$1:$N$142,6,0)</f>
        <v>44543</v>
      </c>
      <c r="S142" s="4">
        <f>VLOOKUP(C142,Лист1!$B$1:$N$142,7,0)</f>
        <v>44543</v>
      </c>
      <c r="T142" s="4">
        <f>VLOOKUP(C142,Лист1!$B$1:$N$142,8,0)</f>
        <v>48213</v>
      </c>
      <c r="U142" s="10">
        <f>VLOOKUP(C142,Лист1!$B$1:$N$142,9,0)</f>
        <v>0.84</v>
      </c>
      <c r="V142" s="10">
        <f t="shared" si="17"/>
        <v>3.36</v>
      </c>
      <c r="W142">
        <v>4.5</v>
      </c>
      <c r="X142" s="1">
        <v>5</v>
      </c>
      <c r="Y142" s="1" t="s">
        <v>78</v>
      </c>
      <c r="Z142" s="3" t="s">
        <v>182</v>
      </c>
      <c r="AA142" s="2" t="str">
        <f>VLOOKUP(C142,Лист1!$B$1:$N$92,10,0)</f>
        <v>ЕАЭС N RU Д-CN.РА03.В.59715/21</v>
      </c>
      <c r="AB142" s="2">
        <f>VLOOKUP(C142,Лист1!$B$1:$N$92,11,0)</f>
        <v>44547</v>
      </c>
      <c r="AC142" s="2">
        <f>VLOOKUP(C142,Лист1!$B$1:$N$92,12,0)</f>
        <v>44547</v>
      </c>
      <c r="AD142" s="2">
        <f>VLOOKUP(C142,Лист1!$B$1:$N$92,13,0)</f>
        <v>46371</v>
      </c>
      <c r="AE142" t="s">
        <v>10</v>
      </c>
      <c r="AF142" t="s">
        <v>263</v>
      </c>
      <c r="AG142" t="s">
        <v>223</v>
      </c>
      <c r="AH142" t="str">
        <f>VLOOKUP(C142,Лист1!$B$3:$P$289,15,0)</f>
        <v xml:space="preserve">SYM3000A-LITE-2S4T-SC40-L3-L3 - промышленные коммутаторы с пониженным потреблением питания, которые могут применяться в ветроэнергетике, распределительных сетях, подстанциях, энергетических SCADA-системах, системах водоочистки, на автомагистралях, в металлургии и других сферах.
Характеристики
Порты
10/100Base-TX 
4
100Base-FX (одномод, 1310, SC) 
2 
Системная производительность
Стандарты: 
IEEE 802.3i, IEEE 802.3u, IEEE 802.3ac, IEEE802.3ad, IEEE 802.3z, IEEE 802.3x, IEEE 802.1p, IEEE 802.1Q, IEEE 802.1s, IEEE 802.1X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Двойной вход питания 24 Вольт постоянного тока 
До 7 Вт
Механические характеристики
Размеры
53.6 x 135 x 106.5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v>
      </c>
    </row>
    <row r="143" spans="1:34" ht="47.25" hidden="1" customHeight="1" x14ac:dyDescent="0.25">
      <c r="A143" s="2">
        <v>44833</v>
      </c>
      <c r="B143">
        <f>VLOOKUP(C143,Лист1!$B$1:$N$98,2,0)</f>
        <v>8517620003</v>
      </c>
      <c r="C143" t="s">
        <v>261</v>
      </c>
      <c r="D143" s="5" t="str">
        <f>VLOOKUP(C143,Лист1!$B$2:$T$292,14,0)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консольным кабелем.</v>
      </c>
      <c r="E143">
        <v>6</v>
      </c>
      <c r="F143" s="19">
        <v>221</v>
      </c>
      <c r="G143" s="19">
        <f t="shared" si="20"/>
        <v>1326</v>
      </c>
      <c r="H143" t="str">
        <f>VLOOKUP(C143,Лист1!$B$1:$N$116,4,0)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143" t="s">
        <v>15</v>
      </c>
      <c r="J143" t="s">
        <v>18</v>
      </c>
      <c r="K143">
        <v>156</v>
      </c>
      <c r="L143" t="s">
        <v>10</v>
      </c>
      <c r="M143" t="s">
        <v>19</v>
      </c>
      <c r="N143" t="s">
        <v>13</v>
      </c>
      <c r="O143" t="s">
        <v>82</v>
      </c>
      <c r="P143">
        <v>10052</v>
      </c>
      <c r="Q143" t="str">
        <f>VLOOKUP(C143,Лист1!$B$1:$N$142,5,0)</f>
        <v>RU0000049917</v>
      </c>
      <c r="R143" s="4">
        <f>VLOOKUP(C143,Лист1!$B$1:$N$142,6,0)</f>
        <v>44099</v>
      </c>
      <c r="S143" s="4">
        <f>VLOOKUP(C143,Лист1!$B$1:$N$142,7,0)</f>
        <v>44099</v>
      </c>
      <c r="T143" s="4">
        <f>VLOOKUP(C143,Лист1!$B$1:$N$142,8,0)</f>
        <v>47848</v>
      </c>
      <c r="U143" s="10">
        <f>VLOOKUP(C143,Лист1!$B$1:$N$142,9,0)</f>
        <v>0.76</v>
      </c>
      <c r="V143" s="10">
        <f t="shared" si="17"/>
        <v>4.5600000000000005</v>
      </c>
      <c r="W143">
        <v>6</v>
      </c>
      <c r="X143" s="1">
        <v>6.5</v>
      </c>
      <c r="Y143" s="1" t="s">
        <v>78</v>
      </c>
      <c r="Z143" s="3" t="s">
        <v>182</v>
      </c>
      <c r="AA143" s="2" t="str">
        <f>VLOOKUP(C143,Лист1!$B$1:$N$92,10,0)</f>
        <v>ЕАЭС N RU Д-CN.РА01.В.65848/21</v>
      </c>
      <c r="AB143" s="2">
        <f>VLOOKUP(C143,Лист1!$B$1:$N$92,11,0)</f>
        <v>44330</v>
      </c>
      <c r="AC143" s="2">
        <f>VLOOKUP(C143,Лист1!$B$1:$N$92,12,0)</f>
        <v>44330</v>
      </c>
      <c r="AD143" s="2">
        <f>VLOOKUP(C143,Лист1!$B$1:$N$92,13,0)</f>
        <v>46154</v>
      </c>
      <c r="AE143" t="s">
        <v>10</v>
      </c>
      <c r="AF143" t="s">
        <v>263</v>
      </c>
      <c r="AG143" t="s">
        <v>223</v>
      </c>
      <c r="AH143" t="str">
        <f>VLOOKUP(C143,Лист1!$B$3:$P$289,15,0)</f>
        <v xml:space="preserve">SICOM3000A - серия гигабитных управляемых коммутаторов на DIN-рейку, разработанных Symanitron для систем передачи данных в энергетике, на транспорте, в горнодобывающей промышленности и др. Коммутатор имеет до 12 гигабитных SFP разъемов и до 16 гигабитных RJ45 портов. Прочный корпус без вентилятора с гофрированной поверхностью, способность работать в широком температурном диапазоне позволяет оборудованию стабильно работать в экстремальных промышленных условиях. В данном устройстве реализована поддержка протокола синхронизации точного времени IEEE1588 PTPv2 с точностью синхронизации 100нс.
Характеристики
Порты
10/100Base-TX Ethernet RJ45
6 шт.
Системная производительность
Стандарты: 
IEEE802.3i, IEEE802.3u, IEEE802.3ab, IEEE802.3z, IEEE 802.3ad, IEEE 802.1d, IEEE 802.1w, IEEE802.3x, IEEE802.1p, IEEE802.1Q, IEEE802.1s, IEEE 802.1x, IEEE 802.1ab, IEEE1588 V2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Двойной вход питания 24 Вольт постоянного тока (18-72VDC)
До 10 Вт
Механические характеристики
Размеры
66×135×107.5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v>
      </c>
    </row>
    <row r="144" spans="1:34" ht="47.25" hidden="1" customHeight="1" x14ac:dyDescent="0.25">
      <c r="A144" s="2">
        <v>44833</v>
      </c>
      <c r="B144">
        <f>VLOOKUP(C144,Лист1!$B$1:$N$98,2,0)</f>
        <v>8517620003</v>
      </c>
      <c r="C144" s="27" t="s">
        <v>256</v>
      </c>
      <c r="D144" s="5" t="str">
        <f>VLOOKUP(C144,Лист1!$B$2:$T$292,14,0)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консольным кабелем.</v>
      </c>
      <c r="E144">
        <v>2</v>
      </c>
      <c r="F144" s="19">
        <v>299</v>
      </c>
      <c r="G144" s="19">
        <f t="shared" si="20"/>
        <v>598</v>
      </c>
      <c r="H144" t="str">
        <f>VLOOKUP(C144,Лист1!$B$1:$N$116,4,0)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144" t="s">
        <v>15</v>
      </c>
      <c r="J144" t="s">
        <v>18</v>
      </c>
      <c r="K144">
        <v>156</v>
      </c>
      <c r="L144" t="s">
        <v>10</v>
      </c>
      <c r="M144" t="s">
        <v>19</v>
      </c>
      <c r="N144" t="s">
        <v>13</v>
      </c>
      <c r="O144" t="s">
        <v>82</v>
      </c>
      <c r="P144">
        <v>10052</v>
      </c>
      <c r="Q144" t="str">
        <f>VLOOKUP(C144,Лист1!$B$1:$N$142,5,0)</f>
        <v>RU0000055090</v>
      </c>
      <c r="R144" s="4">
        <f>VLOOKUP(C144,Лист1!$B$1:$N$142,6,0)</f>
        <v>44543</v>
      </c>
      <c r="S144" s="4">
        <f>VLOOKUP(C144,Лист1!$B$1:$N$142,7,0)</f>
        <v>44543</v>
      </c>
      <c r="T144" s="4">
        <f>VLOOKUP(C144,Лист1!$B$1:$N$142,8,0)</f>
        <v>48213</v>
      </c>
      <c r="U144" s="10">
        <f>VLOOKUP(C144,Лист1!$B$1:$N$142,9,0)</f>
        <v>0.84</v>
      </c>
      <c r="V144" s="10">
        <f t="shared" si="17"/>
        <v>1.68</v>
      </c>
      <c r="W144">
        <v>2.2999999999999998</v>
      </c>
      <c r="X144" s="1">
        <v>2.5</v>
      </c>
      <c r="Y144" s="1" t="s">
        <v>78</v>
      </c>
      <c r="Z144" s="3" t="s">
        <v>182</v>
      </c>
      <c r="AA144" s="2" t="str">
        <f>VLOOKUP(C144,Лист1!$B$1:$N$92,10,0)</f>
        <v>ЕАЭС N RU Д-CN.РА03.В.59715/21</v>
      </c>
      <c r="AB144" s="2">
        <f>VLOOKUP(C144,Лист1!$B$1:$N$92,11,0)</f>
        <v>44547</v>
      </c>
      <c r="AC144" s="2">
        <f>VLOOKUP(C144,Лист1!$B$1:$N$92,12,0)</f>
        <v>44547</v>
      </c>
      <c r="AD144" s="2">
        <f>VLOOKUP(C144,Лист1!$B$1:$N$92,13,0)</f>
        <v>46371</v>
      </c>
      <c r="AE144" t="s">
        <v>10</v>
      </c>
      <c r="AF144" t="s">
        <v>263</v>
      </c>
      <c r="AG144" t="s">
        <v>223</v>
      </c>
      <c r="AH144" t="str">
        <f>VLOOKUP(C144,Лист1!$B$3:$P$289,15,0)</f>
        <v xml:space="preserve">SYM3000A-LITE-2S4T-SC40-L3-L3 - промышленные коммутаторы с пониженным потреблением питания, которые могут применяться в ветроэнергетике, распределительных сетях, подстанциях, энергетических SCADA-системах, системах водоочистки, на автомагистралях, в металлургии и других сферах.
Характеристики
Порты
10/100Base-TX 
4
100Base-FX (одномод, 1310, SC) 
2 
Системная производительность
Стандарты: 
IEEE 802.3i, IEEE 802.3u, IEEE 802.3ac, IEEE802.3ad, IEEE 802.3z, IEEE 802.3x, IEEE 802.1p, IEEE 802.1Q, IEEE 802.1s, IEEE 802.1X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Двойной вход питания 24 Вольт постоянного тока 
До 7 Вт
Механические характеристики
Размеры
53.6 x 135 x 106.5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v>
      </c>
    </row>
    <row r="145" spans="1:34" ht="47.25" hidden="1" customHeight="1" x14ac:dyDescent="0.25">
      <c r="A145" s="2">
        <v>44833</v>
      </c>
      <c r="B145" t="e">
        <f>VLOOKUP(C145,Лист1!$B$1:$N$98,2,0)</f>
        <v>#N/A</v>
      </c>
      <c r="C145" s="27" t="s">
        <v>259</v>
      </c>
      <c r="D145" s="5" t="e">
        <f>VLOOKUP(C145,Лист1!$B$2:$T$292,14,0)</f>
        <v>#N/A</v>
      </c>
      <c r="E145">
        <v>2</v>
      </c>
      <c r="F145" s="19" t="e">
        <v>#N/A</v>
      </c>
      <c r="G145" s="19" t="e">
        <f t="shared" si="20"/>
        <v>#N/A</v>
      </c>
      <c r="H145" t="e">
        <f>VLOOKUP(C145,Лист1!$B$1:$N$116,4,0)</f>
        <v>#N/A</v>
      </c>
      <c r="I145" t="s">
        <v>15</v>
      </c>
      <c r="J145" t="s">
        <v>18</v>
      </c>
      <c r="K145">
        <v>156</v>
      </c>
      <c r="L145" t="s">
        <v>10</v>
      </c>
      <c r="M145" t="s">
        <v>19</v>
      </c>
      <c r="N145" t="s">
        <v>13</v>
      </c>
      <c r="O145" t="s">
        <v>82</v>
      </c>
      <c r="P145">
        <v>10052</v>
      </c>
      <c r="Q145" t="e">
        <f>VLOOKUP(C145,Лист1!$B$1:$N$142,5,0)</f>
        <v>#N/A</v>
      </c>
      <c r="R145" s="4" t="e">
        <f>VLOOKUP(C145,Лист1!$B$1:$N$142,6,0)</f>
        <v>#N/A</v>
      </c>
      <c r="S145" s="4" t="e">
        <f>VLOOKUP(C145,Лист1!$B$1:$N$142,7,0)</f>
        <v>#N/A</v>
      </c>
      <c r="T145" s="4" t="e">
        <f>VLOOKUP(C145,Лист1!$B$1:$N$142,8,0)</f>
        <v>#N/A</v>
      </c>
      <c r="U145" s="10" t="e">
        <f>VLOOKUP(C145,Лист1!$B$1:$N$142,9,0)</f>
        <v>#N/A</v>
      </c>
      <c r="V145" s="10" t="e">
        <f t="shared" si="17"/>
        <v>#N/A</v>
      </c>
      <c r="W145">
        <v>2.2000000000000002</v>
      </c>
      <c r="X145" s="1">
        <v>2.4</v>
      </c>
      <c r="Y145" s="1" t="s">
        <v>78</v>
      </c>
      <c r="Z145" s="3" t="s">
        <v>182</v>
      </c>
      <c r="AA145" s="2" t="e">
        <f>VLOOKUP(C145,Лист1!$B$1:$N$92,10,0)</f>
        <v>#N/A</v>
      </c>
      <c r="AB145" s="2" t="e">
        <f>VLOOKUP(C145,Лист1!$B$1:$N$92,11,0)</f>
        <v>#N/A</v>
      </c>
      <c r="AC145" s="2" t="e">
        <f>VLOOKUP(C145,Лист1!$B$1:$N$92,12,0)</f>
        <v>#N/A</v>
      </c>
      <c r="AD145" s="2" t="e">
        <f>VLOOKUP(C145,Лист1!$B$1:$N$92,13,0)</f>
        <v>#N/A</v>
      </c>
      <c r="AE145" t="s">
        <v>10</v>
      </c>
      <c r="AF145" t="s">
        <v>263</v>
      </c>
      <c r="AG145" t="s">
        <v>223</v>
      </c>
      <c r="AH145" t="e">
        <f>VLOOKUP(C145,Лист1!$B$3:$P$289,15,0)</f>
        <v>#N/A</v>
      </c>
    </row>
    <row r="146" spans="1:34" ht="64.5" hidden="1" customHeight="1" x14ac:dyDescent="0.25">
      <c r="A146" s="2">
        <v>44848</v>
      </c>
      <c r="B146">
        <f>VLOOKUP(C146,Лист1!$B$1:$N$98,2,0)</f>
        <v>8517620003</v>
      </c>
      <c r="C146" s="27" t="s">
        <v>25</v>
      </c>
      <c r="D146" s="5" t="str">
        <f>VLOOKUP(C146,Лист1!$B$2:$T$292,14,0)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146">
        <v>4</v>
      </c>
      <c r="F146" s="19">
        <v>3030.8</v>
      </c>
      <c r="G146" s="19">
        <f t="shared" si="20"/>
        <v>12123.2</v>
      </c>
      <c r="H146" t="str">
        <f>VLOOKUP(C146,Лист1!$B$1:$N$67,4,0)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146" t="s">
        <v>15</v>
      </c>
      <c r="J146" t="s">
        <v>18</v>
      </c>
      <c r="K146">
        <v>156</v>
      </c>
      <c r="L146" t="s">
        <v>10</v>
      </c>
      <c r="M146" t="s">
        <v>19</v>
      </c>
      <c r="N146" t="s">
        <v>13</v>
      </c>
      <c r="O146" t="s">
        <v>82</v>
      </c>
      <c r="P146">
        <v>10052</v>
      </c>
      <c r="Q146" t="str">
        <f>VLOOKUP(C146,Лист1!$B$1:$N$142,5,0)</f>
        <v>RU0000053245</v>
      </c>
      <c r="R146" s="4">
        <f>VLOOKUP(C146,Лист1!$B$1:$N$142,6,0)</f>
        <v>44383</v>
      </c>
      <c r="S146" s="4">
        <f>VLOOKUP(C146,Лист1!$B$1:$N$142,7,0)</f>
        <v>44383</v>
      </c>
      <c r="T146" s="4">
        <f>VLOOKUP(C146,Лист1!$B$1:$N$142,8,0)</f>
        <v>48213</v>
      </c>
      <c r="U146" s="10">
        <f>VLOOKUP(C146,Лист1!$B$1:$N$142,9,0)</f>
        <v>10</v>
      </c>
      <c r="V146" s="10">
        <f t="shared" si="17"/>
        <v>40</v>
      </c>
      <c r="W146" s="26">
        <f>V146-V146*0.1</f>
        <v>36</v>
      </c>
      <c r="X146" s="1">
        <v>40</v>
      </c>
      <c r="Y146" s="1" t="s">
        <v>78</v>
      </c>
      <c r="Z146" s="3" t="s">
        <v>182</v>
      </c>
      <c r="AA146" s="2" t="str">
        <f>VLOOKUP(C146,Лист1!$B$1:$N$92,10,0)</f>
        <v>ЕАЭС N RU Д-CN.КА01.В.23216/20</v>
      </c>
      <c r="AB146" s="2">
        <f>VLOOKUP(C146,Лист1!$B$1:$N$92,11,0)</f>
        <v>43908</v>
      </c>
      <c r="AC146" s="2">
        <f>VLOOKUP(C146,Лист1!$B$1:$N$92,12,0)</f>
        <v>43908</v>
      </c>
      <c r="AD146" s="2">
        <f>VLOOKUP(C146,Лист1!$B$1:$N$92,13,0)</f>
        <v>45733</v>
      </c>
      <c r="AE146" t="s">
        <v>10</v>
      </c>
      <c r="AF146" t="s">
        <v>268</v>
      </c>
      <c r="AG146" t="s">
        <v>223</v>
      </c>
      <c r="AH146" t="str">
        <f>VLOOKUP(C146,Лист1!$B$3:$P$289,15,0)</f>
        <v xml:space="preserve">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Характеристики
Порты
Оптические или медные порты 100 Мбит/с 
до 24 
Оптические или медные гигабитные порты 
до 28 (SICOM3028GPT-L3G) 
до 4 (SICOM3028GPT-L3G) 
Системная производительность
Стандарты: 
IEEE 802.3i, IEEE 802.3u, IEEE 802.3ab, IEEE802.3ac, IEEE 802.3ad, IEEE 802.3z, IEEE 802.3x, IEEE 802.1p, IEEE 802.1Q, IEEE 802.1s, IEEE802.1X, IEC62439-6,
IEC 61850-8-1 GOOSE сообщения 
Протоколы 
DT-Ring, DT-Ring+, MSTP, DRP, VRRP; IGMP, IGMP Snooping, GMRP, PIM-SM, PIM-DM, DVMRP; 
RIPv1/v2, OSPFv2, BGPv4;
VLAN, GVRP, PVLAN; 
Telnet, SNMPv1/v2/v3, RMON, LLDP, BootP, DHCP Option 82, DHCP server/relay/client; 
SNTP, RTC;
SSH, SSL, TACACS+, RADIUS, ACL; 
ARP, Modbus TCP, QoS, LACP
PRP, HSR 
Пропускная способность устройства 
41.7 Mpps (SICOM3028GPT-L3G), 
9.5 Mpps (SICOM3028GPT-L3G) 
Питание
Напряжение питания: 220VAC/DC (85-264VAC/77-370VDC) 
Механические характеристики
Размеры
482.6 x 44 x 360 мм
Крепление 
19” стойка 
Класс защиты 
IP40 
Рабочая температура 
от -40 до +85С 
Температура хранения 
-40 до +85C 
Влажность 
от 5 до 95% (без конденсата) 
MTBF 
368000 часов 
Гарантия 
5 лет </v>
      </c>
    </row>
    <row r="147" spans="1:34" ht="43.5" hidden="1" customHeight="1" x14ac:dyDescent="0.25">
      <c r="A147" s="2">
        <v>44848</v>
      </c>
      <c r="B147">
        <f>VLOOKUP(C147,Лист1!$B$1:$N$98,2,0)</f>
        <v>8517620003</v>
      </c>
      <c r="C147" s="27" t="s">
        <v>161</v>
      </c>
      <c r="D147" s="5" t="str">
        <f>VLOOKUP(C147,Лист1!$B$2:$T$292,14,0)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147">
        <v>13</v>
      </c>
      <c r="F147" s="19">
        <v>2144.8000000000002</v>
      </c>
      <c r="G147" s="19">
        <f t="shared" si="20"/>
        <v>27882.400000000001</v>
      </c>
      <c r="H147" t="str">
        <f>VLOOKUP(C147,Лист1!$B$1:$N$67,4,0)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147" t="s">
        <v>15</v>
      </c>
      <c r="J147" t="s">
        <v>18</v>
      </c>
      <c r="K147">
        <v>156</v>
      </c>
      <c r="L147" t="s">
        <v>10</v>
      </c>
      <c r="M147" t="s">
        <v>19</v>
      </c>
      <c r="N147" t="s">
        <v>13</v>
      </c>
      <c r="O147" t="s">
        <v>82</v>
      </c>
      <c r="P147">
        <v>10052</v>
      </c>
      <c r="Q147" t="str">
        <f>VLOOKUP(C147,Лист1!$B$1:$N$142,5,0)</f>
        <v>RU0000053245</v>
      </c>
      <c r="R147" s="4">
        <f>VLOOKUP(C147,Лист1!$B$1:$N$142,6,0)</f>
        <v>44383</v>
      </c>
      <c r="S147" s="4">
        <f>VLOOKUP(C147,Лист1!$B$1:$N$142,7,0)</f>
        <v>44383</v>
      </c>
      <c r="T147" s="4">
        <f>VLOOKUP(C147,Лист1!$B$1:$N$142,8,0)</f>
        <v>48213</v>
      </c>
      <c r="U147" s="10">
        <f>VLOOKUP(C147,Лист1!$B$1:$N$142,9,0)</f>
        <v>10</v>
      </c>
      <c r="V147" s="10">
        <f t="shared" si="17"/>
        <v>130</v>
      </c>
      <c r="W147" s="26">
        <f t="shared" ref="W147:W148" si="23">V147-V147*0.1</f>
        <v>117</v>
      </c>
      <c r="X147" s="1">
        <v>130.35</v>
      </c>
      <c r="Y147" s="1" t="s">
        <v>78</v>
      </c>
      <c r="Z147" s="3" t="s">
        <v>182</v>
      </c>
      <c r="AA147" s="2" t="str">
        <f>VLOOKUP(C147,Лист1!$B$1:$N$92,10,0)</f>
        <v>ЕАЭС N RU Д-CN.РА01.В.65848/21</v>
      </c>
      <c r="AB147" s="2">
        <f>VLOOKUP(C147,Лист1!$B$1:$N$92,11,0)</f>
        <v>44330</v>
      </c>
      <c r="AC147" s="2">
        <f>VLOOKUP(C147,Лист1!$B$1:$N$92,12,0)</f>
        <v>44330</v>
      </c>
      <c r="AD147" s="2">
        <f>VLOOKUP(C147,Лист1!$B$1:$N$92,13,0)</f>
        <v>46154</v>
      </c>
      <c r="AE147" t="s">
        <v>10</v>
      </c>
      <c r="AF147" t="s">
        <v>268</v>
      </c>
      <c r="AG147" t="s">
        <v>223</v>
      </c>
      <c r="AH147" t="str">
        <f>VLOOKUP(C147,Лист1!$B$3:$P$289,15,0)</f>
        <v xml:space="preserve">SICOM3028GPT-L2F-MB-L3-L3-S - промышленные коммутаторы с широким спектром сфер применния и модульным дизайном для простоты масштабирования и расширения функционала устройства. 
Характеристики
Порты
Медные или оптические порты 100 Мбит/с 
до 24 
Медные или оптические гигабитные порты 
до 4 
Системная производительность
Стандарты: 
IEEE802.3i, IEEE802.3u, IEEE802.3ab, IEEE802.3ac, IEEE802.3ad, IEEE802.3z, IEEE802.3x, IEEE802.1p, IEEE802.1Q, IEEE802.1s, IEEE802.1X, IEC62439-6, 
IEC 61850-8-1 GOOSE сообщения 
Протоколы 
DT-Ring, DT-Ring+, MSTP, DRP; IGMP Snooping, GMRP;
VLAN, GVRP, PVLAN;
Telnet, HTTP, HTTPS, SNMPv1/v2/v3, RMON, LLDP, Bootp, DHCP server/relay/client, DHCP Option 82;
SNTP, PTP, RTC;
SSH, SSL, TACACS+, RADIUS, ACL;
ARP, Modbus TCP, QoS, LACP
PRP, HSR 
Пропускная способность устройства 
9.5 Mpps 
Параметры оптических портов
Длина волны 
1310нм (одномод), 1550нм (одномод), 1310 (многомод) 
Расстояние передачи 
10~80км (одномод) , до 5 км (100M многомод) , до 2 км (1000M многомод) 
Тип коннектора 
SC, ST, FC 
Питание
Напряжение питания 
Резервированное: от 18 до36 Вольт постоянного тока
Потребляемая мощность 
До 48 Ватт
Механические характеристики
Размеры
482.6мм x 44мм x 360мм
Крепление 
19” стойка 
Класс защиты 
IP40 
Рабочая температура 
от -40 до +85С 
Температура хранения 
-40 до +85C 
Влажность 
от 5 до 95% (без конденсата) 
MTBF 
359000 часов 
Гарантия 
5 лет 
</v>
      </c>
    </row>
    <row r="148" spans="1:34" ht="63" hidden="1" customHeight="1" x14ac:dyDescent="0.25">
      <c r="A148" s="2">
        <v>44848</v>
      </c>
      <c r="B148">
        <f>VLOOKUP(C148,Лист1!$B$1:$N$98,2,0)</f>
        <v>8517620003</v>
      </c>
      <c r="C148" s="27" t="s">
        <v>161</v>
      </c>
      <c r="D148" s="5" t="str">
        <f>VLOOKUP(C148,Лист1!$B$2:$T$292,14,0)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148">
        <v>5</v>
      </c>
      <c r="F148" s="19">
        <v>1313.2</v>
      </c>
      <c r="G148" s="19">
        <f t="shared" si="20"/>
        <v>6566</v>
      </c>
      <c r="H148" t="str">
        <f>VLOOKUP(C148,Лист1!$B$1:$N$67,4,0)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I148" t="s">
        <v>15</v>
      </c>
      <c r="J148" t="s">
        <v>18</v>
      </c>
      <c r="K148">
        <v>156</v>
      </c>
      <c r="L148" t="s">
        <v>10</v>
      </c>
      <c r="M148" t="s">
        <v>19</v>
      </c>
      <c r="N148" t="s">
        <v>13</v>
      </c>
      <c r="O148" t="s">
        <v>82</v>
      </c>
      <c r="P148">
        <v>10052</v>
      </c>
      <c r="Q148" t="str">
        <f>VLOOKUP(C148,Лист1!$B$1:$N$142,5,0)</f>
        <v>RU0000053245</v>
      </c>
      <c r="R148" s="4">
        <f>VLOOKUP(C148,Лист1!$B$1:$N$142,6,0)</f>
        <v>44383</v>
      </c>
      <c r="S148" s="4">
        <f>VLOOKUP(C148,Лист1!$B$1:$N$142,7,0)</f>
        <v>44383</v>
      </c>
      <c r="T148" s="4">
        <f>VLOOKUP(C148,Лист1!$B$1:$N$142,8,0)</f>
        <v>48213</v>
      </c>
      <c r="U148" s="10">
        <f>VLOOKUP(C148,Лист1!$B$1:$N$142,9,0)</f>
        <v>10</v>
      </c>
      <c r="V148" s="10">
        <f t="shared" si="17"/>
        <v>50</v>
      </c>
      <c r="W148" s="26">
        <f t="shared" si="23"/>
        <v>45</v>
      </c>
      <c r="X148" s="1">
        <v>49</v>
      </c>
      <c r="Y148" s="1" t="s">
        <v>78</v>
      </c>
      <c r="Z148" s="3" t="s">
        <v>182</v>
      </c>
      <c r="AA148" s="2" t="str">
        <f>VLOOKUP(C148,Лист1!$B$1:$N$92,10,0)</f>
        <v>ЕАЭС N RU Д-CN.РА01.В.65848/21</v>
      </c>
      <c r="AB148" s="2">
        <f>VLOOKUP(C148,Лист1!$B$1:$N$92,11,0)</f>
        <v>44330</v>
      </c>
      <c r="AC148" s="2">
        <f>VLOOKUP(C148,Лист1!$B$1:$N$92,12,0)</f>
        <v>44330</v>
      </c>
      <c r="AD148" s="2">
        <f>VLOOKUP(C148,Лист1!$B$1:$N$92,13,0)</f>
        <v>46154</v>
      </c>
      <c r="AE148" t="s">
        <v>10</v>
      </c>
      <c r="AF148" t="s">
        <v>268</v>
      </c>
      <c r="AG148" t="s">
        <v>223</v>
      </c>
      <c r="AH148" t="str">
        <f>VLOOKUP(C148,Лист1!$B$3:$P$289,15,0)</f>
        <v xml:space="preserve">SICOM3028GPT-L2F-MB-L3-L3-S - промышленные коммутаторы с широким спектром сфер применния и модульным дизайном для простоты масштабирования и расширения функционала устройства. 
Характеристики
Порты
Медные или оптические порты 100 Мбит/с 
до 24 
Медные или оптические гигабитные порты 
до 4 
Системная производительность
Стандарты: 
IEEE802.3i, IEEE802.3u, IEEE802.3ab, IEEE802.3ac, IEEE802.3ad, IEEE802.3z, IEEE802.3x, IEEE802.1p, IEEE802.1Q, IEEE802.1s, IEEE802.1X, IEC62439-6, 
IEC 61850-8-1 GOOSE сообщения 
Протоколы 
DT-Ring, DT-Ring+, MSTP, DRP; IGMP Snooping, GMRP;
VLAN, GVRP, PVLAN;
Telnet, HTTP, HTTPS, SNMPv1/v2/v3, RMON, LLDP, Bootp, DHCP server/relay/client, DHCP Option 82;
SNTP, PTP, RTC;
SSH, SSL, TACACS+, RADIUS, ACL;
ARP, Modbus TCP, QoS, LACP
PRP, HSR 
Пропускная способность устройства 
9.5 Mpps 
Параметры оптических портов
Длина волны 
1310нм (одномод), 1550нм (одномод), 1310 (многомод) 
Расстояние передачи 
10~80км (одномод) , до 5 км (100M многомод) , до 2 км (1000M многомод) 
Тип коннектора 
SC, ST, FC 
Питание
Напряжение питания 
Резервированное: от 18 до36 Вольт постоянного тока
Потребляемая мощность 
До 48 Ватт
Механические характеристики
Размеры
482.6мм x 44мм x 360мм
Крепление 
19” стойка 
Класс защиты 
IP40 
Рабочая температура 
от -40 до +85С 
Температура хранения 
-40 до +85C 
Влажность 
от 5 до 95% (без конденсата) 
MTBF 
359000 часов 
Гарантия 
5 лет 
</v>
      </c>
    </row>
    <row r="149" spans="1:34" ht="60" hidden="1" customHeight="1" x14ac:dyDescent="0.25">
      <c r="A149" s="2">
        <v>44848</v>
      </c>
      <c r="B149">
        <f>VLOOKUP(C149,Лист1!$B$1:$N$98,2,0)</f>
        <v>8517620003</v>
      </c>
      <c r="C149" s="27" t="s">
        <v>44</v>
      </c>
      <c r="D149" s="5" t="str">
        <f>VLOOKUP(C149,Лист1!$B$2:$T$292,14,0)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149">
        <v>1</v>
      </c>
      <c r="F149" s="19">
        <v>939</v>
      </c>
      <c r="G149" s="19">
        <f t="shared" si="20"/>
        <v>939</v>
      </c>
      <c r="H149" t="str">
        <f>VLOOKUP(C149,Лист1!$B$1:$N$67,4,0)</f>
        <v xml:space="preserve">Описание
SICOM3024P-4GX24T-HV-HV-S - промышленные коммутаторы 2 уровня, монтируемые в 19" стойку. Устройства имеют 4 гигабитных порта и 24 порта 100 Мбит/с, которые могут быть как медными так и оптическими.
Коммутаторы крепятся в 19-дюймовую стойку (занимают 1U). Устройства соответствуют IEC61850-3, IEEE1613, EN50155, EN50121-4, NEMA TS-2 для использования в энергетике и на транспорте. Диапазон рабочих температур коммутаторов SICOM3024P-2M26T-SC05-HV-HV-S от -40° до +85°. 
Характеристики
Протоколы 
DT-Ring, DT-Ring+, MSTP
IGMP Snooping, GMRP; 
VLAN, PVLAN; 
Telnet, HTTP, HTTPS, SNMPv1/v2/v3, RMON, LLDP, DHCP server; 
SNTP, RTC;
DT-Psec, SSH, SSL, ACL;
ARP, QoS 
Пропускная способность устройства 
9.5 Mpps 
Питание
Напряжение питания 
 От 85 до264Вольт переменного тока или от 77 до 300Вольт постоянного тока 
Потребляемая мощность 
менее 30 Вт 
Механические характеристики
Размеры
482.6×44×322.5 мм 
Крепление 
19” стойка 
Класс защиты 
IP40 
Рабочая температура 
от -40 до +85С 
Температура хранения 
-40 до +85C 
Влажность 
от 5 до 95% (без конденсата) 
MTBF 
346889 часов 
Гарантия 
5 лет </v>
      </c>
      <c r="I149" t="s">
        <v>15</v>
      </c>
      <c r="J149" t="s">
        <v>18</v>
      </c>
      <c r="K149">
        <v>156</v>
      </c>
      <c r="L149" t="s">
        <v>10</v>
      </c>
      <c r="M149" t="s">
        <v>19</v>
      </c>
      <c r="N149" t="s">
        <v>13</v>
      </c>
      <c r="O149" t="s">
        <v>82</v>
      </c>
      <c r="P149">
        <v>10052</v>
      </c>
      <c r="Q149" t="str">
        <f>VLOOKUP(C149,Лист1!$B$1:$N$142,5,0)</f>
        <v>RU0000053826</v>
      </c>
      <c r="R149" s="4">
        <f>VLOOKUP(C149,Лист1!$B$1:$N$142,6,0)</f>
        <v>44431</v>
      </c>
      <c r="S149" s="4">
        <f>VLOOKUP(C149,Лист1!$B$1:$N$142,7,0)</f>
        <v>44431</v>
      </c>
      <c r="T149" s="4">
        <f>VLOOKUP(C149,Лист1!$B$1:$N$142,8,0)</f>
        <v>48213</v>
      </c>
      <c r="U149" s="10">
        <f>VLOOKUP(C149,Лист1!$B$1:$N$142,9,0)</f>
        <v>4</v>
      </c>
      <c r="V149" s="10">
        <f t="shared" si="17"/>
        <v>4</v>
      </c>
      <c r="W149" s="26">
        <v>4.5</v>
      </c>
      <c r="X149" s="1">
        <v>5</v>
      </c>
      <c r="Y149" s="1" t="s">
        <v>78</v>
      </c>
      <c r="Z149" s="3" t="s">
        <v>182</v>
      </c>
      <c r="AA149" s="2" t="str">
        <f>VLOOKUP(C149,Лист1!$B$1:$N$92,10,0)</f>
        <v>ЕАЭС N RU Д-CN.КА01.В.17403/19</v>
      </c>
      <c r="AB149" s="2">
        <f>VLOOKUP(C149,Лист1!$B$1:$N$92,11,0)</f>
        <v>43787</v>
      </c>
      <c r="AC149" s="2">
        <f>VLOOKUP(C149,Лист1!$B$1:$N$92,12,0)</f>
        <v>43787</v>
      </c>
      <c r="AD149" s="2">
        <f>VLOOKUP(C149,Лист1!$B$1:$N$92,13,0)</f>
        <v>45613</v>
      </c>
      <c r="AE149" t="s">
        <v>10</v>
      </c>
      <c r="AF149" t="s">
        <v>268</v>
      </c>
      <c r="AG149" t="s">
        <v>223</v>
      </c>
      <c r="AH149" t="str">
        <f>VLOOKUP(C149,Лист1!$B$3:$P$289,15,0)</f>
        <v xml:space="preserve">Описание
SICOM3024P-4GX24T-HV-HV-S - промышленные коммутаторы 2 уровня, монтируемые в 19" стойку. Устройства имеют 4 гигабитных порта и 24 порта 100 Мбит/с, которые могут быть как медными так и оптическими.
Коммутаторы крепятся в 19-дюймовую стойку (занимают 1U). Устройства соответствуют IEC61850-3, IEEE1613, EN50155, EN50121-4, NEMA TS-2 для использования в энергетике и на транспорте. Диапазон рабочих температур коммутаторов SICOM3024P-2M26T-SC05-HV-HV-S от -40° до +85°. 
Характеристики
Порты
Медные или оптические порты 100 Мбит/с 
26
Порты SFP+ 10G
4
Системная производительность
Стандарты: 
IEEE 802.3i, IEEE 802.3u, IEEE 802.3ab, IEEE 802.3z, IEEE 802.3x, IEEE 802.1p, IEEE 802.1Q, IEEE 802.1s 
Протоколы 
DT-Ring, DT-Ring+, MSTP
IGMP Snooping, GMRP; 
VLAN, PVLAN; 
Telnet, HTTP, HTTPS, SNMPv1/v2/v3, RMON, LLDP, DHCP server; 
SNTP, RTC;
DT-Psec, SSH, SSL, ACL;
FTP, Syslog;
ARP, QoS 
Пропускная способность устройства 
9.5 Mpps 
Питание
Напряжение питания 
 От 85 до264Вольт переменного тока или от 77 до 300Вольт постоянного тока 
Потребляемая мощность 
менее 30 Вт 
Механические характеристики
Размеры
482.6×44×322.5 мм 
Крепление 
19” стойка 
Класс защиты 
IP40 
Вес 
4 кг
Рабочая температура 
от -40 до +85С 
Температура хранения 
-40 до +85C 
Влажность 
от 5 до 95% (без конденсата) 
MTBF 
346889 часов 
Гарантия 
5 лет </v>
      </c>
    </row>
    <row r="150" spans="1:34" ht="87.75" hidden="1" customHeight="1" x14ac:dyDescent="0.25">
      <c r="A150" s="2">
        <v>44848</v>
      </c>
      <c r="B150">
        <f>VLOOKUP(C150,Лист1!$B$1:$N$98,2,0)</f>
        <v>8517620003</v>
      </c>
      <c r="C150" s="27" t="s">
        <v>247</v>
      </c>
      <c r="D150" s="5" t="str">
        <f>VLOOKUP(C150,Лист1!$B$2:$T$292,14,0)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150">
        <v>1</v>
      </c>
      <c r="F150" s="19">
        <v>320</v>
      </c>
      <c r="G150" s="19">
        <f t="shared" si="20"/>
        <v>320</v>
      </c>
      <c r="H150" t="str">
        <f>VLOOKUP(C150,Лист1!$B$1:$N$98,4,0)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J150" t="s">
        <v>18</v>
      </c>
      <c r="K150">
        <v>156</v>
      </c>
      <c r="L150" t="s">
        <v>10</v>
      </c>
      <c r="M150" t="s">
        <v>19</v>
      </c>
      <c r="N150" t="s">
        <v>13</v>
      </c>
      <c r="O150" t="s">
        <v>82</v>
      </c>
      <c r="P150">
        <v>10052</v>
      </c>
      <c r="Q150" t="str">
        <f>VLOOKUP(C150,Лист1!$B$1:$N$142,5,0)</f>
        <v>RU0000055090</v>
      </c>
      <c r="R150" s="4">
        <f>VLOOKUP(C150,Лист1!$B$1:$N$142,6,0)</f>
        <v>44543</v>
      </c>
      <c r="S150" s="4">
        <f>VLOOKUP(C150,Лист1!$B$1:$N$142,7,0)</f>
        <v>44543</v>
      </c>
      <c r="T150" s="4">
        <f>VLOOKUP(C150,Лист1!$B$1:$N$142,8,0)</f>
        <v>48213</v>
      </c>
      <c r="U150" s="10">
        <f>VLOOKUP(C150,Лист1!$B$1:$N$142,9,0)</f>
        <v>0.84</v>
      </c>
      <c r="V150" s="10">
        <f t="shared" si="17"/>
        <v>0.84</v>
      </c>
      <c r="W150" s="26">
        <v>1.5</v>
      </c>
      <c r="X150" s="1">
        <f t="shared" ref="X150" si="24">W150+W150*0.1</f>
        <v>1.65</v>
      </c>
      <c r="Y150" s="1" t="s">
        <v>78</v>
      </c>
      <c r="Z150" s="3" t="s">
        <v>182</v>
      </c>
      <c r="AA150" s="2" t="str">
        <f>VLOOKUP(C150,Лист1!$B$1:$N$92,10,0)</f>
        <v>ЕАЭС N RU Д-CN.РА03.В.59715/21</v>
      </c>
      <c r="AB150" s="2">
        <f>VLOOKUP(C150,Лист1!$B$1:$N$92,11,0)</f>
        <v>44547</v>
      </c>
      <c r="AC150" s="2">
        <f>VLOOKUP(C150,Лист1!$B$1:$N$92,12,0)</f>
        <v>44547</v>
      </c>
      <c r="AD150" s="2">
        <f>VLOOKUP(C150,Лист1!$B$1:$N$92,13,0)</f>
        <v>46371</v>
      </c>
      <c r="AE150" t="s">
        <v>10</v>
      </c>
      <c r="AF150" t="s">
        <v>268</v>
      </c>
      <c r="AG150" t="s">
        <v>223</v>
      </c>
      <c r="AH150" t="str">
        <f>VLOOKUP(C150,Лист1!$B$3:$P$289,15,0)</f>
        <v xml:space="preserve">SYM3000A-LITE-2M6T-SC05-L3-L3 - промышленные коммутаторы с пониженным потреблением питания, которые могут применяться в ветроэнергетике, распределительных сетях, подстанциях, энергетических SCADA-системах, системах водоочистки, на автомагистралях, в металлургии и других сферах.
Характеристики
Порты
10/100Base-TX 
6 
100Base-FX (многомод, 850, SC) 
2 
Системная производительность
Стандарты: 
IEEE 802.3i, IEEE 802.3u, IEEE 802.3ac, IEEE802.3ad, IEEE 802.3z, IEEE 802.3x, IEEE 802.1p, IEEE 802.1Q, IEEE 802.1s, IEEE 802.1X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Двойной вход питания 24 Вольт постоянного тока 
До 7 Вт
Механические характеристики
Размеры
53.6 x 135 x 106.5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v>
      </c>
    </row>
    <row r="151" spans="1:34" ht="39.950000000000003" hidden="1" customHeight="1" x14ac:dyDescent="0.25">
      <c r="A151" s="2">
        <v>44875</v>
      </c>
      <c r="B151">
        <f>VLOOKUP(C151,Лист1!$B$1:$N$98,2,0)</f>
        <v>8517620003</v>
      </c>
      <c r="C151" s="27" t="s">
        <v>44</v>
      </c>
      <c r="D151" s="5" t="str">
        <f>VLOOKUP(C151,Лист1!$B$2:$T$292,14,0)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151">
        <v>4</v>
      </c>
      <c r="F151" s="19">
        <v>939</v>
      </c>
      <c r="G151" s="19">
        <f t="shared" si="20"/>
        <v>3756</v>
      </c>
      <c r="H151" t="str">
        <f>VLOOKUP(C151,Лист1!$B$1:$N$67,4,0)</f>
        <v xml:space="preserve">Описание
SICOM3024P-4GX24T-HV-HV-S - промышленные коммутаторы 2 уровня, монтируемые в 19" стойку. Устройства имеют 4 гигабитных порта и 24 порта 100 Мбит/с, которые могут быть как медными так и оптическими.
Коммутаторы крепятся в 19-дюймовую стойку (занимают 1U). Устройства соответствуют IEC61850-3, IEEE1613, EN50155, EN50121-4, NEMA TS-2 для использования в энергетике и на транспорте. Диапазон рабочих температур коммутаторов SICOM3024P-2M26T-SC05-HV-HV-S от -40° до +85°. 
Характеристики
Протоколы 
DT-Ring, DT-Ring+, MSTP
IGMP Snooping, GMRP; 
VLAN, PVLAN; 
Telnet, HTTP, HTTPS, SNMPv1/v2/v3, RMON, LLDP, DHCP server; 
SNTP, RTC;
DT-Psec, SSH, SSL, ACL;
ARP, QoS 
Пропускная способность устройства 
9.5 Mpps 
Питание
Напряжение питания 
 От 85 до264Вольт переменного тока или от 77 до 300Вольт постоянного тока 
Потребляемая мощность 
менее 30 Вт 
Механические характеристики
Размеры
482.6×44×322.5 мм 
Крепление 
19” стойка 
Класс защиты 
IP40 
Рабочая температура 
от -40 до +85С 
Температура хранения 
-40 до +85C 
Влажность 
от 5 до 95% (без конденсата) 
MTBF 
346889 часов 
Гарантия 
5 лет </v>
      </c>
      <c r="J151" t="s">
        <v>18</v>
      </c>
      <c r="K151">
        <v>156</v>
      </c>
      <c r="L151" t="s">
        <v>10</v>
      </c>
      <c r="M151" t="s">
        <v>19</v>
      </c>
      <c r="N151" t="s">
        <v>13</v>
      </c>
      <c r="O151" t="s">
        <v>82</v>
      </c>
      <c r="P151">
        <v>10052</v>
      </c>
      <c r="Q151" t="str">
        <f>VLOOKUP(C151,Лист1!$B$1:$N$142,5,0)</f>
        <v>RU0000053826</v>
      </c>
      <c r="R151" s="4">
        <f>VLOOKUP(C151,Лист1!$B$1:$N$142,6,0)</f>
        <v>44431</v>
      </c>
      <c r="S151" s="4">
        <f>VLOOKUP(C151,Лист1!$B$1:$N$142,7,0)</f>
        <v>44431</v>
      </c>
      <c r="T151" s="4">
        <f>VLOOKUP(C151,Лист1!$B$1:$N$142,8,0)</f>
        <v>48213</v>
      </c>
      <c r="U151" s="10">
        <f>VLOOKUP(C151,Лист1!$B$1:$N$142,9,0)</f>
        <v>4</v>
      </c>
      <c r="V151" s="10">
        <f t="shared" si="17"/>
        <v>16</v>
      </c>
      <c r="W151">
        <v>16</v>
      </c>
      <c r="X151" s="1">
        <v>21</v>
      </c>
      <c r="Y151" s="1" t="s">
        <v>78</v>
      </c>
      <c r="Z151" s="3" t="s">
        <v>182</v>
      </c>
      <c r="AA151" s="2" t="str">
        <f>VLOOKUP(C151,Лист1!$B$1:$N$92,10,0)</f>
        <v>ЕАЭС N RU Д-CN.КА01.В.17403/19</v>
      </c>
      <c r="AB151" s="2">
        <f>VLOOKUP(C151,Лист1!$B$1:$N$92,11,0)</f>
        <v>43787</v>
      </c>
      <c r="AC151" s="2">
        <f>VLOOKUP(C151,Лист1!$B$1:$N$92,12,0)</f>
        <v>43787</v>
      </c>
      <c r="AD151" s="2">
        <f>VLOOKUP(C151,Лист1!$B$1:$N$92,13,0)</f>
        <v>45613</v>
      </c>
      <c r="AE151" t="s">
        <v>10</v>
      </c>
      <c r="AG151" t="s">
        <v>223</v>
      </c>
      <c r="AH151" t="str">
        <f>VLOOKUP(C151,Лист1!$B$3:$P$289,15,0)</f>
        <v xml:space="preserve">Описание
SICOM3024P-4GX24T-HV-HV-S - промышленные коммутаторы 2 уровня, монтируемые в 19" стойку. Устройства имеют 4 гигабитных порта и 24 порта 100 Мбит/с, которые могут быть как медными так и оптическими.
Коммутаторы крепятся в 19-дюймовую стойку (занимают 1U). Устройства соответствуют IEC61850-3, IEEE1613, EN50155, EN50121-4, NEMA TS-2 для использования в энергетике и на транспорте. Диапазон рабочих температур коммутаторов SICOM3024P-2M26T-SC05-HV-HV-S от -40° до +85°. 
Характеристики
Порты
Медные или оптические порты 100 Мбит/с 
26
Порты SFP+ 10G
4
Системная производительность
Стандарты: 
IEEE 802.3i, IEEE 802.3u, IEEE 802.3ab, IEEE 802.3z, IEEE 802.3x, IEEE 802.1p, IEEE 802.1Q, IEEE 802.1s 
Протоколы 
DT-Ring, DT-Ring+, MSTP
IGMP Snooping, GMRP; 
VLAN, PVLAN; 
Telnet, HTTP, HTTPS, SNMPv1/v2/v3, RMON, LLDP, DHCP server; 
SNTP, RTC;
DT-Psec, SSH, SSL, ACL;
FTP, Syslog;
ARP, QoS 
Пропускная способность устройства 
9.5 Mpps 
Питание
Напряжение питания 
 От 85 до264Вольт переменного тока или от 77 до 300Вольт постоянного тока 
Потребляемая мощность 
менее 30 Вт 
Механические характеристики
Размеры
482.6×44×322.5 мм 
Крепление 
19” стойка 
Класс защиты 
IP40 
Вес 
4 кг
Рабочая температура 
от -40 до +85С 
Температура хранения 
-40 до +85C 
Влажность 
от 5 до 95% (без конденсата) 
MTBF 
346889 часов 
Гарантия 
5 лет </v>
      </c>
    </row>
    <row r="152" spans="1:34" ht="39.950000000000003" hidden="1" customHeight="1" x14ac:dyDescent="0.25">
      <c r="A152" s="2">
        <v>44875</v>
      </c>
      <c r="B152">
        <f>VLOOKUP(C152,Лист1!$B$1:$N$98,2,0)</f>
        <v>8517620003</v>
      </c>
      <c r="C152" s="27" t="s">
        <v>269</v>
      </c>
      <c r="D152" s="5" t="str">
        <f>VLOOKUP(C152,Лист1!$B$2:$T$292,14,0)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двумя клеммными колодками, уголки для крепления  консольным кабелем.</v>
      </c>
      <c r="E152">
        <v>4</v>
      </c>
      <c r="F152" s="19">
        <v>3312</v>
      </c>
      <c r="G152" s="19">
        <f t="shared" si="20"/>
        <v>13248</v>
      </c>
      <c r="H152" t="str">
        <f>VLOOKUP(C152,Лист1!$B$1:$N$198,4,0)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J152" t="s">
        <v>18</v>
      </c>
      <c r="K152">
        <v>156</v>
      </c>
      <c r="L152" t="s">
        <v>10</v>
      </c>
      <c r="M152" t="s">
        <v>19</v>
      </c>
      <c r="N152" t="s">
        <v>13</v>
      </c>
      <c r="O152" t="s">
        <v>82</v>
      </c>
      <c r="P152">
        <v>10052</v>
      </c>
      <c r="Q152" t="str">
        <f>VLOOKUP(C152,Лист1!$B$1:$N$142,5,0)</f>
        <v>RU0000053245</v>
      </c>
      <c r="R152" s="4">
        <f>VLOOKUP(C152,Лист1!$B$1:$N$142,6,0)</f>
        <v>44383</v>
      </c>
      <c r="S152" s="4">
        <f>VLOOKUP(C152,Лист1!$B$1:$N$142,7,0)</f>
        <v>44383</v>
      </c>
      <c r="T152" s="4">
        <f>VLOOKUP(C152,Лист1!$B$1:$N$142,8,0)</f>
        <v>48213</v>
      </c>
      <c r="U152" s="10">
        <f>VLOOKUP(C152,Лист1!$B$1:$N$142,9,0)</f>
        <v>10</v>
      </c>
      <c r="V152" s="10">
        <f t="shared" si="17"/>
        <v>40</v>
      </c>
      <c r="W152">
        <v>36</v>
      </c>
      <c r="X152" s="1">
        <v>46</v>
      </c>
      <c r="Y152" s="1" t="s">
        <v>78</v>
      </c>
      <c r="Z152" s="3" t="s">
        <v>182</v>
      </c>
      <c r="AA152" s="2" t="str">
        <f>VLOOKUP(C152,Лист1!$B$1:$N$92,10,0)</f>
        <v>ЕАЭС N RU Д-CN.РА01.В.65848/21</v>
      </c>
      <c r="AB152" s="2">
        <f>VLOOKUP(C152,Лист1!$B$1:$N$92,11,0)</f>
        <v>44330</v>
      </c>
      <c r="AC152" s="2">
        <f>VLOOKUP(C152,Лист1!$B$1:$N$92,12,0)</f>
        <v>44330</v>
      </c>
      <c r="AD152" s="2">
        <f>VLOOKUP(C152,Лист1!$B$1:$N$92,13,0)</f>
        <v>46154</v>
      </c>
      <c r="AE152" t="s">
        <v>10</v>
      </c>
      <c r="AG152" t="s">
        <v>223</v>
      </c>
      <c r="AH152" t="str">
        <f>VLOOKUP(C152,Лист1!$B$3:$P$289,15,0)</f>
        <v xml:space="preserve">SICOM3028GPT-L3G-MB-L3-L3-S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Характеристики
Порты
Оптические или медные порты 100 Мбит/с 
до 24 
Оптические или медные гигабитные порты 
до 4
Системная производительность
Стандарты: 
IEEE 802.3i, IEEE 802.3u, IEEE 802.3ab, IEEE802.3ac, IEEE 802.3ad, IEEE 802.3z, IEEE 802.3x, IEEE 802.1p, IEEE 802.1Q, IEEE 802.1s, IEEE802.1X, IEC62439-6,
IEC 61850-8-1 GOOSE сообщения 
Протоколы 
DT-Ring, DT-Ring+, MSTP, DRP, VRRP; IGMP, IGMP Snooping, GMRP, PIM-SM, PIM-DM, DVMRP; 
RIPv1/v2, OSPFv2, BGPv4;
VLAN, GVRP, PVLAN; 
Telnet, HTTP, HTTPS, SNMPv1/v2/v3, RMON, LLDP, BootP, DHCP Option 82, DHCP server/relay/client; 
SNTP, RTC;
SSH, SSL, TACACS+, RADIUS, ACL; 
ARP, Modbus TCP, QoS, LACP
PRP, HSR 
Пропускная способность устройства 
9.5 Mpps 
Шифрование
Не поддерживается 
Питание
Напряжение питания: 2x от 18 до 36 Вольт постоянного тока
Механические характеристики
Размеры
482.6 x 44 x 360 мм
Крепление 
19” стойка 
Класс защиты 
IP40 
Рабочая температура 
от -40 до +85С 
Температура хранения 
-40 до +85C 
Влажность 
от 5 до 95% (без конденсата) 
MTBF 
368000 часов 
Гарантия 
5 лет 
</v>
      </c>
    </row>
    <row r="153" spans="1:34" ht="203.25" hidden="1" customHeight="1" x14ac:dyDescent="0.25">
      <c r="A153" s="2">
        <v>44876</v>
      </c>
      <c r="B153">
        <f>VLOOKUP(C153,Лист1!$B$1:$N$98,2,0)</f>
        <v>8517620003</v>
      </c>
      <c r="C153" s="27" t="s">
        <v>272</v>
      </c>
      <c r="D153" s="5" t="s">
        <v>262</v>
      </c>
      <c r="E153">
        <v>11</v>
      </c>
      <c r="F153" s="19">
        <v>604</v>
      </c>
      <c r="G153" s="19">
        <f t="shared" si="20"/>
        <v>6644</v>
      </c>
      <c r="H153" t="str">
        <f>VLOOKUP(C153,Лист1!$B$1:$N$198,4,0)</f>
        <v xml:space="preserve">SYM3000A-2GX16GE-L2-L2 - серия гигабитных управляемых коммутаторов на DIN-рейку, разработанных для систем передачи данных в энергетике, на транспорте, в горнодобывающей промышленности и др. Коммутатор имеет до 12 гигабитных SFP разъемов и до 16 гигабитных RJ45 портов. Прочный корпус без вентилятора с гофрированной поверхностью, способность работать в широком температурном диапазоне позволяет оборудованию стабильно работать в экстремальных промышленных условиях. В данном устройстве реализована поддержка протокола синхронизации точного времени IEEE1588 PTPv2 с точностью синхронизации 100нс.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Двойной вход питания 24 Вольт постоянного тока (18-72VDC)
До 10 Вт
Механические характеристики
Размеры
102х135х137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v>
      </c>
      <c r="J153" t="s">
        <v>18</v>
      </c>
      <c r="K153">
        <v>156</v>
      </c>
      <c r="L153" t="s">
        <v>10</v>
      </c>
      <c r="M153" t="s">
        <v>19</v>
      </c>
      <c r="N153" t="s">
        <v>13</v>
      </c>
      <c r="O153" t="s">
        <v>82</v>
      </c>
      <c r="P153">
        <v>10052</v>
      </c>
      <c r="Q153" t="str">
        <f>VLOOKUP(C153,Лист1!$B$1:$N$142,5,0)</f>
        <v>RU0000049917</v>
      </c>
      <c r="R153" s="4">
        <f>VLOOKUP(C153,Лист1!$B$1:$N$142,6,0)</f>
        <v>44099</v>
      </c>
      <c r="S153" s="4">
        <f>VLOOKUP(C153,Лист1!$B$1:$N$142,7,0)</f>
        <v>44099</v>
      </c>
      <c r="T153" s="4">
        <f>VLOOKUP(C153,Лист1!$B$1:$N$142,8,0)</f>
        <v>47848</v>
      </c>
      <c r="U153" s="10">
        <v>1.9</v>
      </c>
      <c r="V153" s="10">
        <f t="shared" si="17"/>
        <v>20.9</v>
      </c>
      <c r="W153">
        <v>22</v>
      </c>
      <c r="X153" s="1">
        <f t="shared" si="21"/>
        <v>24.75</v>
      </c>
      <c r="Y153" s="1" t="s">
        <v>78</v>
      </c>
      <c r="Z153" s="3" t="s">
        <v>182</v>
      </c>
      <c r="AA153" s="2" t="str">
        <f>VLOOKUP(C153,Лист1!$B$1:$N$92,10,0)</f>
        <v>ЕАЭС N RU Д-CN.РА01.В.65848/21</v>
      </c>
      <c r="AB153" s="2">
        <f>VLOOKUP(C153,Лист1!$B$1:$N$92,11,0)</f>
        <v>44330</v>
      </c>
      <c r="AC153" s="2">
        <f>VLOOKUP(C153,Лист1!$B$1:$N$92,12,0)</f>
        <v>44330</v>
      </c>
      <c r="AD153" s="2">
        <f>VLOOKUP(C153,Лист1!$B$1:$N$92,13,0)</f>
        <v>46154</v>
      </c>
      <c r="AE153" t="s">
        <v>10</v>
      </c>
      <c r="AF153" t="s">
        <v>280</v>
      </c>
      <c r="AG153" t="s">
        <v>223</v>
      </c>
      <c r="AH153" t="str">
        <f>VLOOKUP(C153,Лист1!$B$3:$P$289,15,0)</f>
        <v xml:space="preserve">SYM3000A-2GX16GE-L2-L2 - серия гигабитных управляемых коммутаторов на DIN-рейку, разработанных для систем передачи данных в энергетике, на транспорте, в горнодобывающей промышленности и др. Коммутатор имеет до 12 гигабитных SFP разъемов и до 16 гигабитных RJ45 портов. Прочный корпус без вентилятора с гофрированной поверхностью, способность работать в широком температурном диапазоне позволяет оборудованию стабильно работать в экстремальных промышленных условиях. В данном устройстве реализована поддержка протокола синхронизации точного времени IEEE1588 PTPv2 с точностью синхронизации 100нс.
Характеристики
Порты
10/100/1000Base-TX Ethernet RJ45
16 шт.
100/1000Base-X Ethernet SFP
2 шт.
Системная производительность
Стандарты: 
IEEE802.3i, IEEE802.3u, IEEE802.3ab, IEEE802.3z, IEEE 802.3ad, IEEE 802.1d, IEEE 802.1w, IEEE802.3x, IEEE802.1p, IEEE802.1Q, IEEE802.1s, IEEE 802.1x, IEEE 802.1ab, IEEE1588 V2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Двойной вход питания 24 Вольт постоянного тока (18-72VDC)
До 10 Вт
Механические характеристики
Размеры
102х135х137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v>
      </c>
    </row>
    <row r="154" spans="1:34" ht="144.75" hidden="1" customHeight="1" x14ac:dyDescent="0.25">
      <c r="A154" s="2">
        <v>44876</v>
      </c>
      <c r="B154">
        <f>VLOOKUP(C154,Лист1!$B$1:$N$98,2,0)</f>
        <v>8517620003</v>
      </c>
      <c r="C154" s="27" t="s">
        <v>203</v>
      </c>
      <c r="D154" s="5" t="s">
        <v>276</v>
      </c>
      <c r="E154">
        <v>24</v>
      </c>
      <c r="F154" s="19">
        <v>750</v>
      </c>
      <c r="G154" s="19">
        <f t="shared" si="20"/>
        <v>18000</v>
      </c>
      <c r="H154" t="str">
        <f>VLOOKUP(C154,Лист1!$B$1:$N$198,4,0)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J154" t="s">
        <v>18</v>
      </c>
      <c r="K154">
        <v>156</v>
      </c>
      <c r="L154" t="s">
        <v>10</v>
      </c>
      <c r="M154" t="s">
        <v>19</v>
      </c>
      <c r="N154" t="s">
        <v>13</v>
      </c>
      <c r="O154" t="s">
        <v>82</v>
      </c>
      <c r="P154">
        <v>10052</v>
      </c>
      <c r="Q154" t="str">
        <f>VLOOKUP(C154,Лист1!$B$1:$N$142,5,0)</f>
        <v>RU0000049918</v>
      </c>
      <c r="R154" s="4">
        <f>VLOOKUP(C154,Лист1!$B$1:$N$142,6,0)</f>
        <v>44099</v>
      </c>
      <c r="S154" s="4">
        <f>VLOOKUP(C154,Лист1!$B$1:$N$142,7,0)</f>
        <v>44099</v>
      </c>
      <c r="T154" s="4">
        <f>VLOOKUP(C154,Лист1!$B$1:$N$142,8,0)</f>
        <v>47848</v>
      </c>
      <c r="U154" s="10">
        <f>VLOOKUP(C154,Лист1!$B$1:$N$142,9,0)</f>
        <v>1.5</v>
      </c>
      <c r="V154" s="10">
        <f t="shared" si="17"/>
        <v>36</v>
      </c>
      <c r="W154">
        <v>48</v>
      </c>
      <c r="X154" s="1">
        <f t="shared" si="21"/>
        <v>54</v>
      </c>
      <c r="Y154" s="1" t="s">
        <v>78</v>
      </c>
      <c r="Z154" s="3" t="s">
        <v>182</v>
      </c>
      <c r="AA154" s="2" t="str">
        <f>VLOOKUP(C154,Лист1!$B$1:$N$92,10,0)</f>
        <v>ЕАЭС N RU Д-CN.РА01.В.65848/21</v>
      </c>
      <c r="AB154" s="2">
        <f>VLOOKUP(C154,Лист1!$B$1:$N$92,11,0)</f>
        <v>44330</v>
      </c>
      <c r="AC154" s="2">
        <f>VLOOKUP(C154,Лист1!$B$1:$N$92,12,0)</f>
        <v>44330</v>
      </c>
      <c r="AD154" s="2">
        <f>VLOOKUP(C154,Лист1!$B$1:$N$92,13,0)</f>
        <v>46154</v>
      </c>
      <c r="AE154" t="s">
        <v>10</v>
      </c>
      <c r="AF154" t="s">
        <v>280</v>
      </c>
      <c r="AG154" t="s">
        <v>223</v>
      </c>
      <c r="AH154" t="str">
        <f>VLOOKUP(C154,Лист1!$B$3:$P$289,15,0)</f>
        <v>SYM6000A-4GX8GE-L2-L2 - промышленные коммутаторы с пониженным потреблением питания, которые могут применяться в ветроэнергетике, распределительных сетях, подстанциях, энергетических SCADA-системах, системах водоочистки, на автомагистралях, в металлургии и других сферах.
Коммутаторы могут крепиться на DIN-рейку или панель. Устройства соответствуют IEC61850-3. Диапазон рабочих температур коммутаторов SYM6000A-4GX8GE-L2-L2 от -40° до +85°. Оптические порты коммутатора способны передавать данные на расстояния до 80 км.
В SFP-порты коммутатора можно установить специальные модули, которые могут поддерживать как оптические соединения (одномод или многомод), так и медные.
Характеристики
Порты
Гигабитные SFP
4
10/100/1000Base-TX
8
Системная производительность
Стандарты:
IEEE 802.3i, IEEE 802.3u, IEEE 802.3ab, IEEE 802.3z, IEEE 802.3x, IEEE 802.1p, IEEE 802.1Q, IEEE 802.1s
Протоколы
DT-Ring, DT-Ring+, DT-VLAN, MSTP; 
IGMP Snooping, GMRP;
VLAN, PVLAN; 
Telnet, HTTP, HTTPS, SNMPv1/v2/v3, RMON, LLDP, SNTP, DHCP server; 
DT-Psec, SSH, SSL, ACL;
ARP, QoS
Пропускная способность устройства
52 Гбит/с
Питание
Напряжение питания
24VDC (18-36Вольт постоянного тока)
Потребляемая мощность
менее 18 Вт
Механические характеристики
Размеры
88 х 135 х 137 мм
Крепление
DIN-рейка или панель
Класс защиты
IP40
Рабочая температура
от -40 до +85С
Температура хранения
-40 до +85C
Влажность
от 5 до 95% (без конденсата)
MTBF
323350 часов
Гарантия
5 лет</v>
      </c>
    </row>
    <row r="155" spans="1:34" ht="129" hidden="1" customHeight="1" x14ac:dyDescent="0.25">
      <c r="A155" s="2">
        <v>44876</v>
      </c>
      <c r="B155">
        <f>VLOOKUP(C155,Лист1!$B$1:$N$98,2,0)</f>
        <v>8517620003</v>
      </c>
      <c r="C155" s="27" t="s">
        <v>183</v>
      </c>
      <c r="D155" s="5" t="s">
        <v>199</v>
      </c>
      <c r="E155">
        <v>5</v>
      </c>
      <c r="F155" s="19">
        <v>446</v>
      </c>
      <c r="G155" s="19">
        <f t="shared" si="20"/>
        <v>2230</v>
      </c>
      <c r="H155" t="str">
        <f>VLOOKUP(C155,Лист1!$B$1:$N$198,4,0)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J155" t="s">
        <v>18</v>
      </c>
      <c r="K155">
        <v>156</v>
      </c>
      <c r="L155" t="s">
        <v>10</v>
      </c>
      <c r="M155" t="s">
        <v>19</v>
      </c>
      <c r="N155" t="s">
        <v>13</v>
      </c>
      <c r="O155" t="s">
        <v>82</v>
      </c>
      <c r="P155">
        <v>10052</v>
      </c>
      <c r="Q155" t="str">
        <f>VLOOKUP(C155,Лист1!$B$1:$N$142,5,0)</f>
        <v>RU0000049917</v>
      </c>
      <c r="R155" s="4">
        <f>VLOOKUP(C155,Лист1!$B$1:$N$142,6,0)</f>
        <v>44099</v>
      </c>
      <c r="S155" s="4">
        <f>VLOOKUP(C155,Лист1!$B$1:$N$142,7,0)</f>
        <v>44099</v>
      </c>
      <c r="T155" s="4">
        <f>VLOOKUP(C155,Лист1!$B$1:$N$142,8,0)</f>
        <v>47848</v>
      </c>
      <c r="U155" s="10">
        <f>VLOOKUP(C155,Лист1!$B$1:$N$142,9,0)</f>
        <v>1.1000000000000001</v>
      </c>
      <c r="V155" s="10">
        <f t="shared" si="17"/>
        <v>5.5</v>
      </c>
      <c r="W155">
        <v>7.5</v>
      </c>
      <c r="X155" s="1">
        <f t="shared" si="21"/>
        <v>8.4375</v>
      </c>
      <c r="Y155" s="1" t="s">
        <v>78</v>
      </c>
      <c r="Z155" s="3" t="s">
        <v>182</v>
      </c>
      <c r="AA155" s="2" t="str">
        <f>VLOOKUP(C155,Лист1!$B$1:$N$92,10,0)</f>
        <v>ЕАЭС N RU Д-CN.РА01.В.65848/21</v>
      </c>
      <c r="AB155" s="2">
        <f>VLOOKUP(C155,Лист1!$B$1:$N$92,11,0)</f>
        <v>44330</v>
      </c>
      <c r="AC155" s="2">
        <f>VLOOKUP(C155,Лист1!$B$1:$N$92,12,0)</f>
        <v>44330</v>
      </c>
      <c r="AD155" s="2">
        <f>VLOOKUP(C155,Лист1!$B$1:$N$92,13,0)</f>
        <v>46154</v>
      </c>
      <c r="AE155" t="s">
        <v>10</v>
      </c>
      <c r="AF155" t="s">
        <v>280</v>
      </c>
      <c r="AG155" t="s">
        <v>223</v>
      </c>
      <c r="AH155" t="str">
        <f>VLOOKUP(C155,Лист1!$B$3:$P$289,15,0)</f>
        <v xml:space="preserve">SYM3000A - серия гигабитных управляемых коммутаторов на DIN-рейку, разработанных для систем передачи данных в энергетике, на транспорте, в горнодобывающей промышленности и др. Коммутатор имеет до 12 гигабитных SFP разъемов и до 16 гигабитных RJ45 портов. Прочный корпус без вентилятора с гофрированной поверхностью, способность работать в широком температурном диапазоне позволяет оборудованию стабильно работать в экстремальных промышленных условиях. В данном устройстве реализована поддержка протокола синхронизации точного времени IEEE1588 PTPv2 с точностью синхронизации 100нс.
Характеристики
Порты
10/100Base-TX Ethernet RJ45
8 шт.
100/1000Base-X Ethernet SFP
4 шт.
Системная производительность
Стандарты: 
IEEE802.3i, IEEE802.3u, IEEE802.3ab, IEEE802.3z, IEEE 802.3ad, IEEE 802.1d, IEEE 802.1w, IEEE802.3x, IEEE802.1p, IEEE802.1Q, IEEE802.1s, IEEE 802.1x, IEEE 802.1ab, IEEE1588 V2 
Протоколы 
DT-Ring, DT-Ring+, DT-VLAN, DRP, MSTP; 
IGMP Snooping, GMRP; 
VLAN, GVRP, PVLAN;
Telnet, HTTP, HTTPS, SNMPv1/v2/v3, RMON, LLDP, SNTP, BootP, DHCP server/relay/client, DHCP Option 82; SSH, SSL, TACACS+, ACL; 
Syslog, FTP, TFTP; 
LACP, ARP, QoS, Modbus TCP 
Пропускная способность устройства 
5.3 Mpps 
Питание
Напряжение питания 
Двойной вход питания 24 Вольт постоянного тока (18-72VDC)
До 10 Вт
Механические характеристики
Размеры
66×135×107.5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v>
      </c>
    </row>
    <row r="156" spans="1:34" ht="157.5" hidden="1" customHeight="1" x14ac:dyDescent="0.25">
      <c r="A156" s="2">
        <v>44876</v>
      </c>
      <c r="B156">
        <f>VLOOKUP(C156,Лист1!$B$1:$N$98,2,0)</f>
        <v>8517620003</v>
      </c>
      <c r="C156" s="27" t="s">
        <v>138</v>
      </c>
      <c r="D156" s="5" t="s">
        <v>277</v>
      </c>
      <c r="E156">
        <v>1</v>
      </c>
      <c r="F156" s="19">
        <v>683</v>
      </c>
      <c r="G156" s="19">
        <f t="shared" si="20"/>
        <v>683</v>
      </c>
      <c r="H156" t="str">
        <f>VLOOKUP(C156,Лист1!$B$1:$N$198,4,0)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J156" t="s">
        <v>18</v>
      </c>
      <c r="K156">
        <v>156</v>
      </c>
      <c r="L156" t="s">
        <v>10</v>
      </c>
      <c r="M156" t="s">
        <v>19</v>
      </c>
      <c r="N156" t="s">
        <v>13</v>
      </c>
      <c r="O156" t="s">
        <v>82</v>
      </c>
      <c r="P156">
        <v>10052</v>
      </c>
      <c r="Q156" t="str">
        <f>VLOOKUP(C156,Лист1!$B$1:$N$142,5,0)</f>
        <v>RU0000049917</v>
      </c>
      <c r="R156" s="4">
        <f>VLOOKUP(C156,Лист1!$B$1:$N$142,6,0)</f>
        <v>44099</v>
      </c>
      <c r="S156" s="4">
        <f>VLOOKUP(C156,Лист1!$B$1:$N$142,7,0)</f>
        <v>44099</v>
      </c>
      <c r="T156" s="4">
        <f>VLOOKUP(C156,Лист1!$B$1:$N$142,8,0)</f>
        <v>47848</v>
      </c>
      <c r="U156" s="10">
        <f>VLOOKUP(C156,Лист1!$B$1:$N$142,9,0)</f>
        <v>1.5</v>
      </c>
      <c r="V156" s="10">
        <f t="shared" si="17"/>
        <v>1.5</v>
      </c>
      <c r="W156">
        <v>2</v>
      </c>
      <c r="X156" s="1">
        <f t="shared" si="21"/>
        <v>2.25</v>
      </c>
      <c r="Y156" s="1" t="s">
        <v>78</v>
      </c>
      <c r="Z156" s="3" t="s">
        <v>182</v>
      </c>
      <c r="AA156" s="2" t="str">
        <f>VLOOKUP(C156,Лист1!$B$1:$N$92,10,0)</f>
        <v>ЕАЭС N RU Д-CN.РА01.В.65848/21</v>
      </c>
      <c r="AB156" s="2">
        <f>VLOOKUP(C156,Лист1!$B$1:$N$92,11,0)</f>
        <v>44330</v>
      </c>
      <c r="AC156" s="2">
        <f>VLOOKUP(C156,Лист1!$B$1:$N$92,12,0)</f>
        <v>44330</v>
      </c>
      <c r="AD156" s="2">
        <f>VLOOKUP(C156,Лист1!$B$1:$N$92,13,0)</f>
        <v>46154</v>
      </c>
      <c r="AE156" t="s">
        <v>10</v>
      </c>
      <c r="AF156" t="s">
        <v>280</v>
      </c>
      <c r="AG156" t="s">
        <v>223</v>
      </c>
      <c r="AH156" t="str">
        <f>VLOOKUP(C156,Лист1!$B$3:$P$289,15,0)</f>
        <v xml:space="preserve">Описание
SYM3000A - серия гигабитных управляемых коммутаторов на DIN-рейку, разработанных для систем передачи данных в энергетике, на транспорте, в горнодобывающей промышленности и др. Коммутатор имеет до 12 гигабитных SFP разъемов и до 16 гигабитных RJ45 портов. Прочный корпус без вентилятора с гофрированной поверхностью, способность работать в широком температурном диапазоне позволяет оборудованию стабильно работать в экстремальных промышленных условиях. В данном устройстве реализована поддержка протокола синхронизации точного времени IEEE1588 PTPv2 с точностью синхронизации 100нс.
Характеристики
Порты
10/100/1000Base-TX Ethernet RJ45
8 шт.
100/1000Base-X Ethernet SFP
8 шт.
Системная производительность
Стандарты: 
IEEE802.3i, IEEE802.3u, IEEE802.3ab, IEEE802.3z, IEEE 802.3ad, IEEE 802.1d, IEEE 802.1w, IEEE802.3x, IEEE802.1p, IEEE802.1Q, IEEE802.1s, IEEE 802.1x, IEEE 802.1ab, IEEE1588 V2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Двойной вход питания 24 Вольт постоянного тока (18-72VDC)
До 10 Вт
Механические характеристики
Размеры
102х135х137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v>
      </c>
    </row>
    <row r="157" spans="1:34" ht="252" hidden="1" customHeight="1" x14ac:dyDescent="0.25">
      <c r="A157" s="2">
        <v>44876</v>
      </c>
      <c r="B157">
        <f>VLOOKUP(C157,Лист1!$B$1:$N$98,2,0)</f>
        <v>8517620003</v>
      </c>
      <c r="C157" s="27" t="s">
        <v>135</v>
      </c>
      <c r="D157" s="5" t="s">
        <v>276</v>
      </c>
      <c r="E157">
        <v>6</v>
      </c>
      <c r="F157" s="19">
        <v>368</v>
      </c>
      <c r="G157" s="19">
        <f t="shared" si="20"/>
        <v>2208</v>
      </c>
      <c r="H157" t="str">
        <f>VLOOKUP(C157,Лист1!$B$1:$N$198,4,0)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J157" t="s">
        <v>18</v>
      </c>
      <c r="K157">
        <v>156</v>
      </c>
      <c r="L157" t="s">
        <v>10</v>
      </c>
      <c r="M157" t="s">
        <v>19</v>
      </c>
      <c r="N157" t="s">
        <v>13</v>
      </c>
      <c r="O157" t="s">
        <v>82</v>
      </c>
      <c r="P157">
        <v>10052</v>
      </c>
      <c r="Q157" t="str">
        <f>VLOOKUP(C157,Лист1!$B$1:$N$142,5,0)</f>
        <v>RU0000049917</v>
      </c>
      <c r="R157" s="4">
        <f>VLOOKUP(C157,Лист1!$B$1:$N$142,6,0)</f>
        <v>44099</v>
      </c>
      <c r="S157" s="4">
        <f>VLOOKUP(C157,Лист1!$B$1:$N$142,7,0)</f>
        <v>44099</v>
      </c>
      <c r="T157" s="4">
        <f>VLOOKUP(C157,Лист1!$B$1:$N$142,8,0)</f>
        <v>47848</v>
      </c>
      <c r="U157" s="10">
        <f>VLOOKUP(C157,Лист1!$B$1:$N$142,9,0)</f>
        <v>1.5</v>
      </c>
      <c r="V157" s="10">
        <f t="shared" si="17"/>
        <v>9</v>
      </c>
      <c r="W157">
        <v>9</v>
      </c>
      <c r="X157" s="1">
        <f t="shared" si="21"/>
        <v>10.125</v>
      </c>
      <c r="Y157" s="1" t="s">
        <v>78</v>
      </c>
      <c r="Z157" s="3" t="s">
        <v>182</v>
      </c>
      <c r="AA157" s="2" t="str">
        <f>VLOOKUP(C157,Лист1!$B$1:$N$92,10,0)</f>
        <v>ЕАЭС N RU Д-CN.РА01.В.65848/21</v>
      </c>
      <c r="AB157" s="2">
        <f>VLOOKUP(C157,Лист1!$B$1:$N$92,11,0)</f>
        <v>44330</v>
      </c>
      <c r="AC157" s="2">
        <f>VLOOKUP(C157,Лист1!$B$1:$N$92,12,0)</f>
        <v>44330</v>
      </c>
      <c r="AD157" s="2">
        <f>VLOOKUP(C157,Лист1!$B$1:$N$92,13,0)</f>
        <v>46154</v>
      </c>
      <c r="AE157" t="s">
        <v>10</v>
      </c>
      <c r="AF157" t="s">
        <v>280</v>
      </c>
      <c r="AG157" t="s">
        <v>223</v>
      </c>
      <c r="AH157" t="str">
        <f>VLOOKUP(C157,Лист1!$B$3:$P$289,15,0)</f>
        <v xml:space="preserve">SYM3000A - серия гигабитных управляемых коммутаторов на DIN-рейку, разработанных для систем передачи данных в энергетике, на транспорте, в горнодобывающей промышленности и др. Коммутатор имеет до 12 гигабитных SFP разъемов и до 16 гигабитных RJ45 портов. Прочный корпус без вентилятора с гофрированной поверхностью, способность работать в широком температурном диапазоне позволяет оборудованию стабильно работать в экстремальных промышленных условиях. В данном устройстве реализована поддержка протокола синхронизации точного времени IEEE1588 PTPv2 с точностью синхронизации 100нс.
Характеристики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Двойной вход питания 24 Вольт постоянного тока (18-72VDC)
До 10 Вт
Механические характеристики
Размеры
88х135х137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v>
      </c>
    </row>
    <row r="158" spans="1:34" ht="175.5" hidden="1" customHeight="1" x14ac:dyDescent="0.25">
      <c r="A158" s="2">
        <v>44876</v>
      </c>
      <c r="B158">
        <f>VLOOKUP(C158,Лист1!$B$1:$N$98,2,0)</f>
        <v>8517620002</v>
      </c>
      <c r="C158" s="27" t="s">
        <v>273</v>
      </c>
      <c r="D158" s="5" t="s">
        <v>275</v>
      </c>
      <c r="E158">
        <v>1</v>
      </c>
      <c r="F158" s="19">
        <v>90</v>
      </c>
      <c r="G158" s="19">
        <f t="shared" si="20"/>
        <v>90</v>
      </c>
      <c r="H158" t="str">
        <f>VLOOKUP(C158,Лист1!$B$1:$N$198,4,0)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J158" t="s">
        <v>18</v>
      </c>
      <c r="K158">
        <v>156</v>
      </c>
      <c r="L158" t="s">
        <v>10</v>
      </c>
      <c r="M158" t="s">
        <v>19</v>
      </c>
      <c r="N158" t="s">
        <v>13</v>
      </c>
      <c r="O158" t="s">
        <v>82</v>
      </c>
      <c r="P158">
        <v>10052</v>
      </c>
      <c r="Q158" t="str">
        <f>VLOOKUP(C158,Лист1!$B$1:$N$142,5,0)</f>
        <v>RU0000055089</v>
      </c>
      <c r="R158" s="4">
        <f>VLOOKUP(C158,Лист1!$B$1:$N$142,6,0)</f>
        <v>44543</v>
      </c>
      <c r="S158" s="4">
        <f>VLOOKUP(C158,Лист1!$B$1:$N$142,7,0)</f>
        <v>44543</v>
      </c>
      <c r="T158" s="4">
        <f>VLOOKUP(C158,Лист1!$B$1:$N$142,8,0)</f>
        <v>48213</v>
      </c>
      <c r="U158" s="10">
        <f>VLOOKUP(C158,Лист1!$B$1:$N$142,9,0)</f>
        <v>0.3</v>
      </c>
      <c r="V158" s="10">
        <f t="shared" si="17"/>
        <v>0.3</v>
      </c>
      <c r="W158">
        <v>1</v>
      </c>
      <c r="X158" s="1">
        <f t="shared" si="21"/>
        <v>1.125</v>
      </c>
      <c r="Y158" s="1" t="s">
        <v>78</v>
      </c>
      <c r="Z158" s="3" t="s">
        <v>182</v>
      </c>
      <c r="AA158" s="2" t="str">
        <f>VLOOKUP(C158,Лист1!$B$1:$N$92,10,0)</f>
        <v>ЕАЭС N RU Д-CN.РА08.В.15787/22</v>
      </c>
      <c r="AB158" s="2">
        <f>VLOOKUP(C158,Лист1!$B$1:$N$92,11,0)</f>
        <v>44879</v>
      </c>
      <c r="AC158" s="2">
        <f>VLOOKUP(C158,Лист1!$B$1:$N$92,12,0)</f>
        <v>44879</v>
      </c>
      <c r="AD158" s="2">
        <f>VLOOKUP(C158,Лист1!$B$1:$N$92,13,0)</f>
        <v>46701</v>
      </c>
      <c r="AE158" t="s">
        <v>10</v>
      </c>
      <c r="AF158" t="s">
        <v>280</v>
      </c>
      <c r="AG158" t="s">
        <v>223</v>
      </c>
      <c r="AH158" t="str">
        <f>VLOOKUP(C158,Лист1!$B$3:$P$289,15,0)</f>
        <v xml:space="preserve">от 5% до 95% (без конденсата) KOM300A - промышленные медиаконвертеры для преобразования сред между 10/100Base-T(X) медью и 100Base-FX оптикой, что позволяет увеличивать расстояния передачи данных благодаря оптике. KOM300A поддерживают автоматическое согласование передачи по витой паре, так что не нужно выбирать между кроссовым и прямым кабелем - используйте любой. Устройства имеют широкий температурный диапазон: от -40 до +70°C, могут питаться от двух источников питания с напряжением 18 ~ 72 V DC.
Характеристики
Порты
10/100BaseTX порт
2 порта
Оптические порты
1
Стандарт оптических портов
100BaseFX
Тип оптики
Многомод 
Оптический разъём
ST
Дистанция
5 км 
Длина волны
1310 нм
Питание
Резервирование питания
Поддержка двух источников питания 85-264VAC/77-300VDC на 5-пиновой клеммной колодке
Потребляемая мощность
2,2 W
Защита от высокого напряжения
Есть
Защита от обратной полярности
Есть
Физические характеристики
Класс защиты
IP-40
Размеры
30 × 115 × 91.5 мм
Рабочая температура
от -40° до 85°
Температура хранения
от -40° до 85°
Рабочая влажность
</v>
      </c>
    </row>
    <row r="159" spans="1:34" ht="229.5" hidden="1" customHeight="1" x14ac:dyDescent="0.25">
      <c r="A159" s="2">
        <v>44887</v>
      </c>
      <c r="B159">
        <f>VLOOKUP(C159,Лист1!$B$1:$N$98,2,0)</f>
        <v>8517620003</v>
      </c>
      <c r="C159" t="s">
        <v>176</v>
      </c>
      <c r="D159" s="5" t="str">
        <f>VLOOKUP(C159,Лист1!$B$2:$T$292,14,0)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консольным кабелем.</v>
      </c>
      <c r="E159">
        <v>6</v>
      </c>
      <c r="F159" s="19">
        <v>1326.7</v>
      </c>
      <c r="G159" s="19">
        <f t="shared" si="20"/>
        <v>7960.2000000000007</v>
      </c>
      <c r="H159" t="str">
        <f>VLOOKUP(C159,Лист1!$B$1:$N$198,4,0)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J159" t="s">
        <v>18</v>
      </c>
      <c r="K159">
        <v>156</v>
      </c>
      <c r="L159" t="s">
        <v>10</v>
      </c>
      <c r="M159" t="s">
        <v>19</v>
      </c>
      <c r="N159" t="s">
        <v>13</v>
      </c>
      <c r="O159" t="s">
        <v>82</v>
      </c>
      <c r="P159">
        <v>10052</v>
      </c>
      <c r="Q159" t="str">
        <f>VLOOKUP(C159,Лист1!$B$1:$N$142,5,0)</f>
        <v>RU0000053827</v>
      </c>
      <c r="R159" s="4">
        <f>VLOOKUP(C159,Лист1!$B$1:$N$142,6,0)</f>
        <v>44431</v>
      </c>
      <c r="S159" s="4">
        <f>VLOOKUP(C159,Лист1!$B$1:$N$142,7,0)</f>
        <v>44431</v>
      </c>
      <c r="T159" s="4">
        <f>VLOOKUP(C159,Лист1!$B$1:$N$142,8,0)</f>
        <v>48213</v>
      </c>
      <c r="U159" s="10">
        <f>VLOOKUP(C159,Лист1!$B$1:$N$142,9,0)</f>
        <v>3</v>
      </c>
      <c r="V159" s="10">
        <f t="shared" si="17"/>
        <v>18</v>
      </c>
      <c r="W159">
        <v>18</v>
      </c>
      <c r="X159" s="1">
        <v>22</v>
      </c>
      <c r="Y159" s="1" t="s">
        <v>78</v>
      </c>
      <c r="Z159" s="3" t="s">
        <v>182</v>
      </c>
      <c r="AA159" s="2" t="str">
        <f>VLOOKUP(C159,Лист1!$B$1:$N$92,10,0)</f>
        <v>ЕАЭС N RU Д-CN.РА01.В.95186/21</v>
      </c>
      <c r="AB159" s="2">
        <f>VLOOKUP(C159,Лист1!$B$1:$N$92,11,0)</f>
        <v>44435</v>
      </c>
      <c r="AC159" s="2">
        <f>VLOOKUP(C159,Лист1!$B$1:$N$92,12,0)</f>
        <v>44435</v>
      </c>
      <c r="AD159" s="2">
        <f>VLOOKUP(C159,Лист1!$B$1:$N$92,13,0)</f>
        <v>46253</v>
      </c>
      <c r="AE159" t="s">
        <v>10</v>
      </c>
      <c r="AF159" t="s">
        <v>284</v>
      </c>
      <c r="AG159" t="s">
        <v>224</v>
      </c>
      <c r="AH159" t="str">
        <f>VLOOKUP(C159,Лист1!$B$3:$P$289,15,0)</f>
        <v xml:space="preserve">SYM6416G – серия десяти-гигабитных управляемых коммутаторов на DIN-рейку, разработанных для систем передачи данных в энергетике, на транспорте, в горнодобывающей промышленности и др. Коммутатор имеет SFP порты 10Г . Прочный корпус без вентилятора с гофрированной поверхностью, способность работать в широком температурном диапазоне позволяет оборудованию стабильно работать в экстремальных промышленных условиях. В данном устройстве реализована поддержка протокола синхронизации точного времени IEEE1588 PTPv2 с точностью синхронизации 100нс. Коммутаторы могут крепиться на DIN-рейку или панель. Диапазон рабочих температур коммутаторов SYM6416G от -40° до +75°.
Характеристики
Порты
10G Base-X SFP	4
10/100/1000Base-TX	4
 100/1000Base-X SFP	8
Системная производительность
Стандарты	IEEE802.3i IEEE802.3u IEEE802.3ab IEEE802.3z IEEE 802.3ae IEEE 802.3ad IEEE802.3x IEEE802.1p IEEE802.1q IEEE 802.1w IEEE802.1s IEEE 802.1x IEEE1588
Функции 2 уровня	STP/RSTP
Поддержка до 4094 VLAN
VLAN на базе портов и 802.1Q
VLAN на основе MAC-адресов
управление VLAN, Private VLAN
динамическое назначение VLAN с использованием RADIUS- сервера
Поддержка QoS очередей на порт 8
DHCP
IGMP для фильтрации трафика групповой рассылки (до 4К групп)
Блокирование «Head-of-Line» (HOL)
Функции 3 уровня	Маршрутизация IPv4
Статическая маршрутизация
RIP v2 для динамической маршрутизации
Поддержка VRRPv2/v3
Private VLAN (PVLAN)
Управление маршрутизацией на основе ACL IPv4 или IPv6
 Протоклоы резервирования	IEEE 802.1d Spanning Tree Protocol (STP)
IEEE 802.1w Rapid Spanning Tree Protocol (RSTP)
Питание
Напряжение питания	18-36 Вольт постоянного тока
Потребляемая мощность	До 35 Ватт
Механические характеристики
Класс защиты	IP40
Крепление	DIN-рейка или панель
Размеры (Ш х Г х В)	120мм×154мм×154мм
 Рабочая температура	от -40 до +75С
Температура хранения	-40 до +85C
Влажность	от 5 до 95% (без конденсата)
MTBF	223350 часов
Гарантия	5 лет </v>
      </c>
    </row>
    <row r="160" spans="1:34" ht="160.5" hidden="1" customHeight="1" x14ac:dyDescent="0.25">
      <c r="A160" s="2">
        <v>44887</v>
      </c>
      <c r="B160">
        <f>VLOOKUP(C160,Лист1!$B$1:$N$98,2,0)</f>
        <v>8517620003</v>
      </c>
      <c r="C160" s="27" t="s">
        <v>281</v>
      </c>
      <c r="D160" s="5" t="str">
        <f>VLOOKUP(C160,Лист1!$B$2:$T$292,14,0)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консольным кабелем.</v>
      </c>
      <c r="E160">
        <v>10</v>
      </c>
      <c r="F160" s="19">
        <v>268</v>
      </c>
      <c r="G160" s="19">
        <f t="shared" si="20"/>
        <v>2680</v>
      </c>
      <c r="H160" t="str">
        <f>VLOOKUP(C160,Лист1!$B$1:$N$198,4,0)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J160" t="s">
        <v>18</v>
      </c>
      <c r="K160">
        <v>156</v>
      </c>
      <c r="L160" t="s">
        <v>10</v>
      </c>
      <c r="M160" t="s">
        <v>19</v>
      </c>
      <c r="N160" t="s">
        <v>13</v>
      </c>
      <c r="O160" t="s">
        <v>82</v>
      </c>
      <c r="P160">
        <v>10052</v>
      </c>
      <c r="Q160" t="str">
        <f>VLOOKUP(C160,Лист1!$B$1:$N$142,5,0)</f>
        <v>RU0000056712</v>
      </c>
      <c r="R160" s="4">
        <f>VLOOKUP(C160,Лист1!$B$1:$N$142,6,0)</f>
        <v>44761</v>
      </c>
      <c r="S160" s="4">
        <f>VLOOKUP(C160,Лист1!$B$1:$N$142,7,0)</f>
        <v>44761</v>
      </c>
      <c r="T160" s="4">
        <f>VLOOKUP(C160,Лист1!$B$1:$N$142,8,0)</f>
        <v>48579</v>
      </c>
      <c r="U160" s="10">
        <f>VLOOKUP(C160,Лист1!$B$1:$N$142,9,0)</f>
        <v>1.1000000000000001</v>
      </c>
      <c r="V160" s="10">
        <f t="shared" si="17"/>
        <v>11</v>
      </c>
      <c r="W160">
        <v>15</v>
      </c>
      <c r="X160" s="1">
        <v>18</v>
      </c>
      <c r="Y160" s="1" t="s">
        <v>78</v>
      </c>
      <c r="Z160" s="3" t="s">
        <v>182</v>
      </c>
      <c r="AA160" s="2" t="str">
        <f>VLOOKUP(C160,Лист1!$B$1:$N$92,10,0)</f>
        <v>ЕАЭС N RU Д-CN.РА06.В.78359/22</v>
      </c>
      <c r="AB160" s="2">
        <f>VLOOKUP(C160,Лист1!$B$1:$N$92,11,0)</f>
        <v>44826</v>
      </c>
      <c r="AC160" s="2">
        <f>VLOOKUP(C160,Лист1!$B$1:$N$92,12,0)</f>
        <v>44826</v>
      </c>
      <c r="AD160" s="2">
        <f>VLOOKUP(C160,Лист1!$B$1:$N$92,13,0)</f>
        <v>46651</v>
      </c>
      <c r="AE160" t="s">
        <v>10</v>
      </c>
      <c r="AF160" t="s">
        <v>284</v>
      </c>
      <c r="AG160" t="s">
        <v>224</v>
      </c>
      <c r="AH160" t="str">
        <f>VLOOKUP(C160,Лист1!$B$3:$P$289,15,0)</f>
        <v xml:space="preserve">SYM3000A - серия гигабитных управляемых коммутаторов на DIN-рейку, разработанных для систем передачи данных в энергетике, на транспорте, в горнодобывающей промышленности и др. Коммутатор имеет до 12 гигабитных SFP разъемов и до 16 гигабитных RJ45 портов. Прочный корпус без вентилятора с гофрированной поверхностью, способность работать в широком температурном диапазоне позволяет оборудованию стабильно работать в экстремальных промышленных условиях. В данном устройстве реализована поддержка протокола синхронизации точного времени IEEE1588 PTPv2 с точностью синхронизации 100нс.
Характеристики
Порты
10/100Base-TX Ethernet RJ45
8 шт.
Системная производительность
Стандарты: 
IEEE802.3i, IEEE802.3u, IEEE802.3ab, IEEE802.3z, IEEE 802.3ad, IEEE 802.1d, IEEE 802.1w, IEEE802.3x, IEEE802.1p, IEEE802.1Q, IEEE802.1s, IEEE 802.1x, IEEE 802.1ab, IEEE1588 V2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Двойной вход питания 24 Вольт постоянного тока (18-72VDC)
До 10 Вт
Механические характеристики
Размеры
66×135×107.5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v>
      </c>
    </row>
    <row r="161" spans="1:34" ht="39.950000000000003" hidden="1" customHeight="1" x14ac:dyDescent="0.25">
      <c r="A161" s="2">
        <v>44882</v>
      </c>
      <c r="B161">
        <f>VLOOKUP(C161,Лист1!$B$1:$N$98,2,0)</f>
        <v>8517620002</v>
      </c>
      <c r="C161" s="27" t="s">
        <v>231</v>
      </c>
      <c r="D161" s="5" t="str">
        <f>VLOOKUP(C161,Лист1!$B$2:$T$292,14,0)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161">
        <v>2</v>
      </c>
      <c r="F161" s="19">
        <v>1952.8</v>
      </c>
      <c r="G161" s="19">
        <f t="shared" si="20"/>
        <v>3905.6</v>
      </c>
      <c r="H161" t="str">
        <f>VLOOKUP(C161,Лист1!$B$1:$N$198,4,0)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J161" t="s">
        <v>18</v>
      </c>
      <c r="K161">
        <v>156</v>
      </c>
      <c r="L161" t="s">
        <v>10</v>
      </c>
      <c r="M161" t="s">
        <v>19</v>
      </c>
      <c r="N161" t="s">
        <v>13</v>
      </c>
      <c r="O161" t="s">
        <v>82</v>
      </c>
      <c r="P161">
        <v>10052</v>
      </c>
      <c r="Q161" t="str">
        <f>VLOOKUP(C161,Лист1!$B$1:$N$142,5,0)</f>
        <v>RU0000053245</v>
      </c>
      <c r="R161" s="4">
        <f>VLOOKUP(C161,Лист1!$B$1:$N$142,6,0)</f>
        <v>44383</v>
      </c>
      <c r="S161" s="4">
        <f>VLOOKUP(C161,Лист1!$B$1:$N$142,7,0)</f>
        <v>44383</v>
      </c>
      <c r="T161" s="4">
        <f>VLOOKUP(C161,Лист1!$B$1:$N$142,8,0)</f>
        <v>48213</v>
      </c>
      <c r="U161" s="10">
        <f>VLOOKUP(C161,Лист1!$B$1:$N$142,9,0)</f>
        <v>10</v>
      </c>
      <c r="V161" s="10">
        <f t="shared" si="17"/>
        <v>20</v>
      </c>
      <c r="W161">
        <v>18</v>
      </c>
      <c r="X161" s="1">
        <v>20</v>
      </c>
      <c r="Y161" s="1" t="s">
        <v>78</v>
      </c>
      <c r="Z161" s="3" t="s">
        <v>182</v>
      </c>
      <c r="AA161" s="2" t="str">
        <f>VLOOKUP(C161,Лист1!$B$1:$N$92,10,0)</f>
        <v>ЕАЭС N RU Д-CN.КА01.В.23216/20</v>
      </c>
      <c r="AB161" s="2">
        <f>VLOOKUP(C161,Лист1!$B$1:$N$92,11,0)</f>
        <v>43908</v>
      </c>
      <c r="AC161" s="2">
        <f>VLOOKUP(C161,Лист1!$B$1:$N$92,12,0)</f>
        <v>43908</v>
      </c>
      <c r="AD161" s="2">
        <f>VLOOKUP(C161,Лист1!$B$1:$N$92,13,0)</f>
        <v>45733</v>
      </c>
      <c r="AE161" t="s">
        <v>10</v>
      </c>
      <c r="AG161" t="s">
        <v>224</v>
      </c>
      <c r="AH161" t="str">
        <f>VLOOKUP(C161,Лист1!$B$3:$P$289,15,0)</f>
        <v xml:space="preserve">SICOM3028GPT-L2G-MB-HV-HV-S - промышленные коммутаторы с широким спектром сфер применния и модульным дизайном для простоты масштабирования и расширения функционала устройства. Модели SICOM3028GPT-L2G могут иметь до 28 гигабитных портов. При этом возможна практически любая комбинация медных и оптических портов. 
Характеристики
Порты
Медные или оптические порты 100 Мбит/с 
до 24 
10/100/1000Base-TX 
до 24 
Комбо порты (10/100/1000Base-TX или гигабитные SFP) 
до 4 
Системная производительность
Стандарты: 
IEEE802.3i, IEEE802.3u, IEEE802.3ab, IEEE802.3ac, IEEE802.3ad, IEEE802.3z, IEEE802.3x, IEEE802.1p, IEEE802.1Q, IEEE802.1s, IEEE802.1X, IEC62439-6 
Протоколы 
DT-Ring, DT-Ring+, MSTP, DRP; IGMP Snooping, GMRP;
VLAN, GVRP, PVLAN;
Telnet, HTTP, HTTPS, SNMPv1/v2/v3, RMON, LLDP, Bootp, DHCP server/relay/client, DHCP Option 82;
SNTP, PTP, RTC;
SSH, SSL, TACACS+, RADIUS, ACL; FTP, TFTP, Syslog;
ARP, Modbus TCP, QoS, LACP 
Пропускная способность устройства 
41.7 Mpps (SICOM3028GPT-L2G), 9.5 Mpps (SICOM3028GPT-L2G) 
Параметры оптических портов
Длина волны 
1310нм (одномод), 1550нм (одномод), 1310 (многомод) 
Расстояние передачи 
10~80км (одномод) , до 5 км (100M многомод) , до 2 км (1000M многомод) 
Тип коннектора 
SC, ST, FC 
Питание
Напряжение питания 
От 77 до 300 Вольт постоянного тока или от 85 до 264 Вольт переменного тока  
Потребляемая мощность 
менее 26 Вт (при установке только медных модулей)
менее 40 Вт (при установке только оптических модулей) 
Механические характеристики
Размеры
482.6мм x 44мм x 360мм
Крепление 
19” стойка 
Класс защиты 
IP40 
Рабочая температура 
от -40 до +85С 
Температура хранения 
-40 до +85C 
Влажность 
от 5 до 95% (без конденсата) 
MTBF 
359000 часов 
Гарантия 
5 лет 
</v>
      </c>
    </row>
    <row r="162" spans="1:34" ht="39.950000000000003" hidden="1" customHeight="1" x14ac:dyDescent="0.25">
      <c r="A162" s="2">
        <v>44882</v>
      </c>
      <c r="B162">
        <f>VLOOKUP(C162,Лист1!$B$1:$N$98,2,0)</f>
        <v>8517620002</v>
      </c>
      <c r="C162" s="27" t="s">
        <v>231</v>
      </c>
      <c r="D162" s="5" t="str">
        <f>VLOOKUP(C162,Лист1!$B$2:$T$292,14,0)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162">
        <v>8</v>
      </c>
      <c r="F162" s="19">
        <v>2368.8000000000002</v>
      </c>
      <c r="G162" s="19">
        <f t="shared" si="20"/>
        <v>18950.400000000001</v>
      </c>
      <c r="H162" t="str">
        <f>VLOOKUP(C162,Лист1!$B$1:$N$198,4,0)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J162" t="s">
        <v>18</v>
      </c>
      <c r="K162">
        <v>156</v>
      </c>
      <c r="L162" t="s">
        <v>10</v>
      </c>
      <c r="M162" t="s">
        <v>19</v>
      </c>
      <c r="N162" t="s">
        <v>13</v>
      </c>
      <c r="O162" t="s">
        <v>82</v>
      </c>
      <c r="P162">
        <v>10052</v>
      </c>
      <c r="Q162" t="str">
        <f>VLOOKUP(C162,Лист1!$B$1:$N$142,5,0)</f>
        <v>RU0000053245</v>
      </c>
      <c r="R162" s="4">
        <f>VLOOKUP(C162,Лист1!$B$1:$N$142,6,0)</f>
        <v>44383</v>
      </c>
      <c r="S162" s="4">
        <f>VLOOKUP(C162,Лист1!$B$1:$N$142,7,0)</f>
        <v>44383</v>
      </c>
      <c r="T162" s="4">
        <f>VLOOKUP(C162,Лист1!$B$1:$N$142,8,0)</f>
        <v>48213</v>
      </c>
      <c r="U162" s="10">
        <f>VLOOKUP(C162,Лист1!$B$1:$N$142,9,0)</f>
        <v>10</v>
      </c>
      <c r="V162" s="10">
        <f t="shared" si="17"/>
        <v>80</v>
      </c>
      <c r="W162">
        <v>80</v>
      </c>
      <c r="X162" s="1">
        <v>88</v>
      </c>
      <c r="Y162" s="1" t="s">
        <v>78</v>
      </c>
      <c r="Z162" s="3" t="s">
        <v>182</v>
      </c>
      <c r="AA162" s="2" t="str">
        <f>VLOOKUP(C162,Лист1!$B$1:$N$92,10,0)</f>
        <v>ЕАЭС N RU Д-CN.КА01.В.23216/20</v>
      </c>
      <c r="AB162" s="2">
        <f>VLOOKUP(C162,Лист1!$B$1:$N$92,11,0)</f>
        <v>43908</v>
      </c>
      <c r="AC162" s="2">
        <f>VLOOKUP(C162,Лист1!$B$1:$N$92,12,0)</f>
        <v>43908</v>
      </c>
      <c r="AD162" s="2">
        <f>VLOOKUP(C162,Лист1!$B$1:$N$92,13,0)</f>
        <v>45733</v>
      </c>
      <c r="AE162" t="s">
        <v>10</v>
      </c>
      <c r="AG162" t="s">
        <v>224</v>
      </c>
      <c r="AH162" t="str">
        <f>VLOOKUP(C162,Лист1!$B$3:$P$289,15,0)</f>
        <v xml:space="preserve">SICOM3028GPT-L2G-MB-HV-HV-S - промышленные коммутаторы с широким спектром сфер применния и модульным дизайном для простоты масштабирования и расширения функционала устройства. Модели SICOM3028GPT-L2G могут иметь до 28 гигабитных портов. При этом возможна практически любая комбинация медных и оптических портов. 
Характеристики
Порты
Медные или оптические порты 100 Мбит/с 
до 24 
10/100/1000Base-TX 
до 24 
Комбо порты (10/100/1000Base-TX или гигабитные SFP) 
до 4 
Системная производительность
Стандарты: 
IEEE802.3i, IEEE802.3u, IEEE802.3ab, IEEE802.3ac, IEEE802.3ad, IEEE802.3z, IEEE802.3x, IEEE802.1p, IEEE802.1Q, IEEE802.1s, IEEE802.1X, IEC62439-6 
Протоколы 
DT-Ring, DT-Ring+, MSTP, DRP; IGMP Snooping, GMRP;
VLAN, GVRP, PVLAN;
Telnet, HTTP, HTTPS, SNMPv1/v2/v3, RMON, LLDP, Bootp, DHCP server/relay/client, DHCP Option 82;
SNTP, PTP, RTC;
SSH, SSL, TACACS+, RADIUS, ACL; FTP, TFTP, Syslog;
ARP, Modbus TCP, QoS, LACP 
Пропускная способность устройства 
41.7 Mpps (SICOM3028GPT-L2G), 9.5 Mpps (SICOM3028GPT-L2G) 
Параметры оптических портов
Длина волны 
1310нм (одномод), 1550нм (одномод), 1310 (многомод) 
Расстояние передачи 
10~80км (одномод) , до 5 км (100M многомод) , до 2 км (1000M многомод) 
Тип коннектора 
SC, ST, FC 
Питание
Напряжение питания 
От 77 до 300 Вольт постоянного тока или от 85 до 264 Вольт переменного тока  
Потребляемая мощность 
менее 26 Вт (при установке только медных модулей)
менее 40 Вт (при установке только оптических модулей) 
Механические характеристики
Размеры
482.6мм x 44мм x 360мм
Крепление 
19” стойка 
Класс защиты 
IP40 
Рабочая температура 
от -40 до +85С 
Температура хранения 
-40 до +85C 
Влажность 
от 5 до 95% (без конденсата) 
MTBF 
359000 часов 
Гарантия 
5 лет 
</v>
      </c>
    </row>
    <row r="163" spans="1:34" ht="39.950000000000003" hidden="1" customHeight="1" x14ac:dyDescent="0.25">
      <c r="A163" s="2">
        <v>44895</v>
      </c>
      <c r="B163">
        <f>VLOOKUP(C163,Лист1!$B$1:$N$98,2,0)</f>
        <v>8517620003</v>
      </c>
      <c r="C163" s="5" t="s">
        <v>248</v>
      </c>
      <c r="D163" s="5" t="str">
        <f>VLOOKUP(C163,Лист1!$B$2:$T$292,14,0)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163">
        <v>11</v>
      </c>
      <c r="F163" s="19">
        <v>515</v>
      </c>
      <c r="G163" s="19">
        <f t="shared" si="20"/>
        <v>5665</v>
      </c>
      <c r="H163" t="str">
        <f>VLOOKUP(C163,Лист1!$B$1:$N$198,4,0)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J163" t="s">
        <v>18</v>
      </c>
      <c r="K163">
        <v>156</v>
      </c>
      <c r="L163" t="s">
        <v>10</v>
      </c>
      <c r="M163" t="s">
        <v>19</v>
      </c>
      <c r="N163" t="s">
        <v>13</v>
      </c>
      <c r="O163" t="s">
        <v>82</v>
      </c>
      <c r="P163">
        <v>10052</v>
      </c>
      <c r="Q163" t="str">
        <f>VLOOKUP(C163,Лист1!$B$1:$N$142,5,0)</f>
        <v>RU0000051996</v>
      </c>
      <c r="R163" s="4">
        <f>VLOOKUP(C163,Лист1!$B$1:$N$142,6,0)</f>
        <v>44284</v>
      </c>
      <c r="S163" s="4">
        <f>VLOOKUP(C163,Лист1!$B$1:$N$142,7,0)</f>
        <v>44284</v>
      </c>
      <c r="T163" s="4">
        <f>VLOOKUP(C163,Лист1!$B$1:$N$142,8,0)</f>
        <v>47848</v>
      </c>
      <c r="U163" s="10">
        <f>VLOOKUP(C163,Лист1!$B$1:$N$142,9,0)</f>
        <v>1.25</v>
      </c>
      <c r="V163" s="10">
        <f t="shared" si="17"/>
        <v>13.75</v>
      </c>
      <c r="W163">
        <v>16.5</v>
      </c>
      <c r="X163" s="1">
        <f t="shared" si="21"/>
        <v>18.5625</v>
      </c>
      <c r="Y163" s="1" t="s">
        <v>78</v>
      </c>
      <c r="Z163" s="3" t="s">
        <v>182</v>
      </c>
      <c r="AA163" s="2" t="s">
        <v>250</v>
      </c>
      <c r="AB163" s="2">
        <v>44720</v>
      </c>
      <c r="AC163" s="2">
        <v>44720</v>
      </c>
      <c r="AD163" s="2">
        <f>VLOOKUP(C163,Лист1!$B$1:$N$92,13,0)</f>
        <v>46545</v>
      </c>
      <c r="AE163" t="s">
        <v>10</v>
      </c>
      <c r="AF163" t="s">
        <v>288</v>
      </c>
      <c r="AG163" t="s">
        <v>224</v>
      </c>
      <c r="AH163" t="str">
        <f>VLOOKUP(C163,Лист1!$B$3:$P$289,15,0)</f>
        <v xml:space="preserve">Устройство Ruby3A от компании Kyland поддерживает одновременно протоколы резервирования High Availability Seamless Redundancy (HSR) и Parallel Redundancy Protocol (PRP). Ruby3обеспечивает бесперебойную работу при любом возможном сбое в сети. Это достигается одновременной дублированной передачей данных по независимым маршрутам для обеспечения резервирования на уровне каналов.
Характеристики
Пароли – Многоуровневые пароли для защиты от неавторизованного доступа
SSH / SSL – Расширение парольной защиты, добавляющая 128-битное шифрование данных при передаче по сети
Защита MAC адресов – Возможность защищать порты так, чтобы доступ был только у устройств с авторизованными MAC адресами
RADIUS – Централизованная аутентификация с использованием хэш-функции MD5
SNMPv3 – Шифрование аутентификационной информации, передаваемой по сети (CBC-DES с ключом 56
Рабочая температура: от –40°C до +85°C
Нет движущихся частей
Веб, Telnet, CLI
SNMP v1/v2/v3 (56-бит шифрование)
Удалённый мониторинг (RMON)
Широкий набор функций диагностики и протоколирования
Поддержка IEC 62439 MIB
Потребляемое напряжение: 100-240VAC, 50/60Гц; 110-220VDC(85-264Вольт переменного тока или 77-300Вольт постоянного тока)
Клеммная колодка для надёжных и удобных подключений кабелей
Размеры(ДхВхШ): 66×135×107.5 мм 
</v>
      </c>
    </row>
    <row r="164" spans="1:34" ht="39.950000000000003" hidden="1" customHeight="1" x14ac:dyDescent="0.25">
      <c r="A164" s="2">
        <v>44895</v>
      </c>
      <c r="B164">
        <f>VLOOKUP(C164,Лист1!$B$1:$N$98,2,0)</f>
        <v>8517620003</v>
      </c>
      <c r="C164" s="5" t="s">
        <v>137</v>
      </c>
      <c r="D164" s="5" t="str">
        <f>VLOOKUP(C164,Лист1!$B$2:$T$292,14,0)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164">
        <v>34</v>
      </c>
      <c r="F164" s="19">
        <v>515</v>
      </c>
      <c r="G164" s="19">
        <f t="shared" si="20"/>
        <v>17510</v>
      </c>
      <c r="H164" t="str">
        <f>VLOOKUP(C164,Лист1!$B$1:$N$198,4,0)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J164" t="s">
        <v>18</v>
      </c>
      <c r="K164">
        <v>156</v>
      </c>
      <c r="L164" t="s">
        <v>10</v>
      </c>
      <c r="M164" t="s">
        <v>19</v>
      </c>
      <c r="N164" t="s">
        <v>13</v>
      </c>
      <c r="O164" t="s">
        <v>82</v>
      </c>
      <c r="P164">
        <v>10052</v>
      </c>
      <c r="Q164" t="str">
        <f>VLOOKUP(C164,Лист1!$B$1:$N$142,5,0)</f>
        <v>RU0000051996</v>
      </c>
      <c r="R164" s="4">
        <f>VLOOKUP(C164,Лист1!$B$1:$N$142,6,0)</f>
        <v>44284</v>
      </c>
      <c r="S164" s="4">
        <f>VLOOKUP(C164,Лист1!$B$1:$N$142,7,0)</f>
        <v>44284</v>
      </c>
      <c r="T164" s="4">
        <f>VLOOKUP(C164,Лист1!$B$1:$N$142,8,0)</f>
        <v>47848</v>
      </c>
      <c r="U164" s="10">
        <f>VLOOKUP(C164,Лист1!$B$1:$N$142,9,0)</f>
        <v>1.25</v>
      </c>
      <c r="V164" s="10">
        <f t="shared" si="17"/>
        <v>42.5</v>
      </c>
      <c r="W164">
        <v>51</v>
      </c>
      <c r="X164" s="1">
        <v>57.69</v>
      </c>
      <c r="Y164" s="1" t="s">
        <v>78</v>
      </c>
      <c r="Z164" s="3" t="s">
        <v>182</v>
      </c>
      <c r="AA164" s="2" t="s">
        <v>140</v>
      </c>
      <c r="AB164" s="2">
        <v>44309</v>
      </c>
      <c r="AC164" s="2">
        <v>44309</v>
      </c>
      <c r="AD164" s="2">
        <f>VLOOKUP(C164,Лист1!$B$1:$N$92,13,0)</f>
        <v>46134</v>
      </c>
      <c r="AE164" t="s">
        <v>10</v>
      </c>
      <c r="AF164" t="s">
        <v>288</v>
      </c>
      <c r="AG164" t="s">
        <v>224</v>
      </c>
      <c r="AH164" t="str">
        <f>VLOOKUP(C164,Лист1!$B$3:$P$289,15,0)</f>
        <v xml:space="preserve">RubySYM3A-3G-L2-L2 -УСТРОЙСТВО RUBY3A ОТ КОМПАНИИ KYLAND ПОДДЕРЖИВАЕТ ОДНОВРЕМЕННО ПРОТОКОЛЫ РЕЗЕРВИРОВАНИЯ HIGH AVAILABILITY SEAMLESS REDUNDANCY (HSR) И PARALLEL REDUNDANCY PROTOCOL (PRP). RUBY3ОБЕСПЕЧИВАЕТ БЕСПЕРЕБОЙНУЮ РАБОТУ ПРИ ЛЮБОМ ВОЗМОЖНОМ СБОЕ В СЕТИ. ЭТО ДОСТИГАЕТСЯ ОДНОВРЕМЕННОЙ ДУБЛИРОВАННОЙ ПЕРЕДАЧЕЙ ДАННЫХ ПО НЕЗАВИСИМЫМ МАРШРУТАМ ДЛЯ ОБЕСПЕЧЕНИЯ РЕЗЕРВИРОВАНИЯ НА УРОВНЕ КАНАЛОВ.  
Характеристики
•	Пароли – Многоуровневые пароли для защиты от неавторизованного доступа
•	SSH / SSL – Расширение парольной защиты, добавляющая 128-битное шифрование данных при передаче по сети
•	Защита MAC адресов – Возможность защищать порты так, чтобы доступ был только у устройств с авторизованными MAC адресами
•	RADIUS – Централизованная аутентификация с использованием хэш-функции MD5
•	SNMPv3 – Шифрование аутентификационной информации, передаваемой по сети (CBC-DES с ключом 56 бит)
•	SSL – Веб-управление с использованием шифрования (128 битный ключ)
•	Защита от ЭМИ и скачков напряжений
o	IEC 62439-3 PRP
o	IEEE 1613 (работа на электроподстанциях)
o	IEC 61850-3 (работа на электроподстанциях)
•	Рабочая температура: от –40°C до +85°C
•	Нет движущихся частей
•	Веб, Telnet, CLI
•	SNMP v1/v2/v3 (56-бит шифрование)
•	Удалённый мониторинг (RMON)
•	Широкий набор функций диагностики и протоколирования
•	Поддержка IEC 62439 MIB
•	Потребляемое напряжение: 24-48VDC (18-72Вольт постоянного тока)
•	Клеммная колодка для надёжных и удобных подключений кабелей
•	Размеры(ДхВхШ): 66*135*107.5 мм 
</v>
      </c>
    </row>
    <row r="165" spans="1:34" ht="66.75" hidden="1" customHeight="1" x14ac:dyDescent="0.25">
      <c r="A165" s="2">
        <v>44895</v>
      </c>
      <c r="B165">
        <f>VLOOKUP(C165,Лист1!$B$1:$N$98,2,0)</f>
        <v>8517620003</v>
      </c>
      <c r="C165" s="5" t="s">
        <v>285</v>
      </c>
      <c r="D165" s="5" t="str">
        <f>VLOOKUP(C165,Лист1!$B$2:$T$292,14,0)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консольным кабелем.</v>
      </c>
      <c r="E165">
        <v>1</v>
      </c>
      <c r="F165" s="19">
        <v>368</v>
      </c>
      <c r="G165" s="19">
        <f t="shared" si="20"/>
        <v>368</v>
      </c>
      <c r="H165" t="str">
        <f>VLOOKUP(C165,Лист1!$B$1:$N$198,4,0)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J165" t="s">
        <v>18</v>
      </c>
      <c r="K165">
        <v>156</v>
      </c>
      <c r="L165" t="s">
        <v>10</v>
      </c>
      <c r="M165" t="s">
        <v>19</v>
      </c>
      <c r="N165" t="s">
        <v>13</v>
      </c>
      <c r="O165" t="s">
        <v>82</v>
      </c>
      <c r="P165">
        <v>10052</v>
      </c>
      <c r="Q165" t="str">
        <f>VLOOKUP(C165,Лист1!$B$1:$N$142,5,0)</f>
        <v>RU0000049917</v>
      </c>
      <c r="R165" s="4">
        <f>VLOOKUP(C165,Лист1!$B$1:$N$142,6,0)</f>
        <v>44099</v>
      </c>
      <c r="S165" s="4">
        <f>VLOOKUP(C165,Лист1!$B$1:$N$142,7,0)</f>
        <v>44099</v>
      </c>
      <c r="T165" s="4">
        <f>VLOOKUP(C165,Лист1!$B$1:$N$142,8,0)</f>
        <v>47848</v>
      </c>
      <c r="U165" s="10">
        <f>VLOOKUP(C165,Лист1!$B$1:$N$142,9,0)</f>
        <v>1.1000000000000001</v>
      </c>
      <c r="V165" s="10">
        <f t="shared" si="17"/>
        <v>1.1000000000000001</v>
      </c>
      <c r="W165">
        <v>1.5</v>
      </c>
      <c r="X165" s="1">
        <f t="shared" si="21"/>
        <v>1.6875</v>
      </c>
      <c r="Y165" s="1" t="s">
        <v>78</v>
      </c>
      <c r="Z165" s="3" t="s">
        <v>182</v>
      </c>
      <c r="AA165" s="2" t="s">
        <v>95</v>
      </c>
      <c r="AB165" s="2">
        <v>43984</v>
      </c>
      <c r="AC165" s="2">
        <v>43984</v>
      </c>
      <c r="AD165" s="2">
        <f>VLOOKUP(C165,Лист1!$B$1:$N$92,13,0)</f>
        <v>45809</v>
      </c>
      <c r="AE165" t="s">
        <v>10</v>
      </c>
      <c r="AF165" t="s">
        <v>288</v>
      </c>
      <c r="AG165" t="s">
        <v>224</v>
      </c>
      <c r="AH165" t="str">
        <f>VLOOKUP(C165,Лист1!$B$3:$P$289,15,0)</f>
        <v xml:space="preserve">SYM3000A - серия гигабитных управляемых коммутаторов на DIN-рейку, разработанных для систем передачи данных в энергетике, на транспорте, в горнодобывающей промышленности и др. Коммутатор имеет до 12 гигабитных SFP разъемов и до 16 гигабитных RJ45 портов. Прочный корпус без вентилятора с гофрированной поверхностью, способность работать в широком температурном диапазоне позволяет оборудованию стабильно работать в экстремальных промышленных условиях. В данном устройстве реализована поддержка протокола синхронизации точного времени IEEE1588 PTPv2 с точностью синхронизации 100нс.
Характеристики
Порты
10/100Base-TX Ethernet RJ45
8 шт.
100/1000Base-X Ethernet SFP
2 шт.
Системная производительность
Стандарты: 
IEEE802.3i, IEEE802.3u, IEEE802.3ab, IEEE802.3z, IEEE 802.3ad, IEEE 802.1d, IEEE 802.1w, IEEE802.3x, IEEE802.1p, IEEE802.1Q, IEEE802.1s, IEEE 802.1x, IEEE 802.1ab, IEEE1588 V2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Вход питания 220 Вольт постоянного тока и 220 переменного тока (85-264VAC/77-300VDC)
До 10 Вт
Механические характеристики
Размеры
66×135×107.5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v>
      </c>
    </row>
    <row r="166" spans="1:34" ht="73.5" hidden="1" customHeight="1" x14ac:dyDescent="0.25">
      <c r="A166" s="2">
        <v>44895</v>
      </c>
      <c r="B166">
        <f>VLOOKUP(C166,Лист1!$B$1:$N$98,2,0)</f>
        <v>8517620003</v>
      </c>
      <c r="C166" s="5" t="s">
        <v>108</v>
      </c>
      <c r="D166" s="5" t="str">
        <f>VLOOKUP(C166,Лист1!$B$2:$T$292,14,0)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166">
        <v>12</v>
      </c>
      <c r="F166" s="19">
        <v>446</v>
      </c>
      <c r="G166" s="19">
        <f t="shared" si="20"/>
        <v>5352</v>
      </c>
      <c r="H166" t="str">
        <f>VLOOKUP(C166,Лист1!$B$1:$N$198,4,0)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J166" t="s">
        <v>18</v>
      </c>
      <c r="K166">
        <v>156</v>
      </c>
      <c r="L166" t="s">
        <v>10</v>
      </c>
      <c r="M166" t="s">
        <v>19</v>
      </c>
      <c r="N166" t="s">
        <v>13</v>
      </c>
      <c r="O166" t="s">
        <v>82</v>
      </c>
      <c r="P166">
        <v>10052</v>
      </c>
      <c r="Q166" t="str">
        <f>VLOOKUP(C166,Лист1!$B$1:$N$142,5,0)</f>
        <v>RU0000049917</v>
      </c>
      <c r="R166" s="4">
        <f>VLOOKUP(C166,Лист1!$B$1:$N$142,6,0)</f>
        <v>44099</v>
      </c>
      <c r="S166" s="4">
        <f>VLOOKUP(C166,Лист1!$B$1:$N$142,7,0)</f>
        <v>44099</v>
      </c>
      <c r="T166" s="4">
        <f>VLOOKUP(C166,Лист1!$B$1:$N$142,8,0)</f>
        <v>47848</v>
      </c>
      <c r="U166" s="10">
        <f>VLOOKUP(C166,Лист1!$B$1:$N$142,9,0)</f>
        <v>1.1000000000000001</v>
      </c>
      <c r="V166" s="10">
        <f t="shared" si="17"/>
        <v>13.200000000000001</v>
      </c>
      <c r="W166">
        <v>18</v>
      </c>
      <c r="X166" s="1">
        <f t="shared" si="21"/>
        <v>20.25</v>
      </c>
      <c r="Y166" s="1" t="s">
        <v>78</v>
      </c>
      <c r="Z166" s="3" t="s">
        <v>182</v>
      </c>
      <c r="AA166" s="2" t="s">
        <v>156</v>
      </c>
      <c r="AB166" s="2">
        <v>44330</v>
      </c>
      <c r="AC166" s="2">
        <v>44330</v>
      </c>
      <c r="AD166" s="2">
        <f>VLOOKUP(C166,Лист1!$B$1:$N$92,13,0)</f>
        <v>46154</v>
      </c>
      <c r="AE166" t="s">
        <v>10</v>
      </c>
      <c r="AF166" t="s">
        <v>288</v>
      </c>
      <c r="AG166" t="s">
        <v>224</v>
      </c>
      <c r="AH166" t="str">
        <f>VLOOKUP(C166,Лист1!$B$3:$P$289,15,0)</f>
        <v xml:space="preserve">SYM3000A - серия гигабитных управляемых коммутаторов на DIN-рейку, разработанных для систем передачи данных в энергетике, на транспорте, в горнодобывающей промышленности и др. Коммутатор имеет до 12 гигабитных SFP разъемов и до 16 гигабитных RJ45 портов. Прочный корпус без вентилятора с гофрированной поверхностью, способность работать в широком температурном диапазоне позволяет оборудованию стабильно работать в экстремальных промышленных условиях. В данном устройстве реализована поддержка протокола синхронизации точного времени IEEE1588 PTPv2 с точностью синхронизации 100нс.
Характеристики
Порты
10/100Base-TX Ethernet RJ45
16 шт.
Системная производительность
Стандарты: 
IEEE802.3i, IEEE802.3u, IEEE802.3ab, IEEE802.3z, IEEE 802.3ad, IEEE 802.1d, IEEE 802.1w, IEEE802.3x, IEEE802.1p, IEEE802.1Q, IEEE802.1s, IEEE 802.1x, IEEE 802.1ab, IEEE1588 V2 
Протоколы 
DT-Ring, DT-Ring+, DT-VLAN, DRP, MSTP; 
IGMP Snooping, GMRP; 
VLAN, GVRP, PVLAN;
Telnet, HTTP, HTTPS, SNMPv1/v2/v3, RMON, LLDP, SNTP, BootP, DHCP server/relay/client, DHCP Option 82; SSH, SSL, TACACS+, ACL; 
Syslog, FTP, TFTP; 
LACP, ARP, QoS, Modbus TCP 
Пропускная способность устройства 
5.3 Mpps 
Питание
Напряжение питания 
Двойной вход питания 24 Вольт постоянного тока (18-72VDC)
До 10 Вт
Механические характеристики
Размеры
102х135х137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v>
      </c>
    </row>
    <row r="167" spans="1:34" ht="150" hidden="1" x14ac:dyDescent="0.25">
      <c r="A167" s="2">
        <v>44895</v>
      </c>
      <c r="B167">
        <f>VLOOKUP(C167,Лист1!$B$1:$N$98,2,0)</f>
        <v>8517620003</v>
      </c>
      <c r="C167" s="5" t="s">
        <v>254</v>
      </c>
      <c r="D167" s="5" t="str">
        <f>VLOOKUP(C167,Лист1!$B$2:$T$292,14,0)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консольным кабелем.</v>
      </c>
      <c r="E167">
        <v>1</v>
      </c>
      <c r="F167" s="19">
        <v>347</v>
      </c>
      <c r="G167" s="19">
        <f t="shared" si="20"/>
        <v>347</v>
      </c>
      <c r="H167" t="str">
        <f>VLOOKUP(C167,Лист1!$B$1:$N$198,4,0)</f>
        <v xml:space="preserve">SYM3000A-LITE-2GX8T-L3-L3 -  - промышленные коммутаторы с пониженным потреблением питания, которые могут применяться в ветроэнергетике, распределительных сетях, подстанциях, энергетических SCADA-системах, системах водоочистки, на автомагистралях, в металлургии и других сферах.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Двойной вход питания 24 Вольт постоянного тока 
До 7 Вт
Механические характеристики
Размеры
53.6 x 135 x 106.5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v>
      </c>
      <c r="J167" t="s">
        <v>18</v>
      </c>
      <c r="K167">
        <v>156</v>
      </c>
      <c r="L167" t="s">
        <v>10</v>
      </c>
      <c r="M167" t="s">
        <v>19</v>
      </c>
      <c r="N167" t="s">
        <v>13</v>
      </c>
      <c r="O167" t="s">
        <v>82</v>
      </c>
      <c r="P167">
        <v>10052</v>
      </c>
      <c r="Q167" t="str">
        <f>VLOOKUP(C167,Лист1!$B$1:$N$142,5,0)</f>
        <v>RU0000055090</v>
      </c>
      <c r="R167" s="4">
        <f>VLOOKUP(C167,Лист1!$B$1:$N$142,6,0)</f>
        <v>44543</v>
      </c>
      <c r="S167" s="4">
        <f>VLOOKUP(C167,Лист1!$B$1:$N$142,7,0)</f>
        <v>44543</v>
      </c>
      <c r="T167" s="4">
        <f>VLOOKUP(C167,Лист1!$B$1:$N$142,8,0)</f>
        <v>48213</v>
      </c>
      <c r="U167" s="10">
        <f>VLOOKUP(C167,Лист1!$B$1:$N$142,9,0)</f>
        <v>0.84</v>
      </c>
      <c r="V167" s="10">
        <f t="shared" si="17"/>
        <v>0.84</v>
      </c>
      <c r="W167">
        <v>1.5</v>
      </c>
      <c r="X167" s="1">
        <f t="shared" si="21"/>
        <v>1.6875</v>
      </c>
      <c r="Y167" s="1" t="s">
        <v>78</v>
      </c>
      <c r="Z167" s="3" t="s">
        <v>182</v>
      </c>
      <c r="AA167" s="2" t="s">
        <v>198</v>
      </c>
      <c r="AB167" s="2">
        <v>44547</v>
      </c>
      <c r="AC167" s="2">
        <v>44547</v>
      </c>
      <c r="AD167" s="2">
        <f>VLOOKUP(C167,Лист1!$B$1:$N$92,13,0)</f>
        <v>46371</v>
      </c>
      <c r="AE167" t="s">
        <v>10</v>
      </c>
      <c r="AF167" t="s">
        <v>288</v>
      </c>
      <c r="AG167" t="s">
        <v>224</v>
      </c>
      <c r="AH167" t="str">
        <f>VLOOKUP(C167,Лист1!$B$3:$P$289,15,0)</f>
        <v xml:space="preserve">SYM3000A-LITE-2GX8T-L3-L3 - промышленные коммутаторы с пониженным потреблением питания, которые могут применяться в ветроэнергетике, распределительных сетях, подстанциях, энергетических SCADA-системах, системах водоочистки, на автомагистралях, в металлургии и других сферах.
Характеристики
Порты
10/100Base-TX 
8
100/1000Base-X SFP
2 
Системная производительность
Стандарты: 
IEEE 802.3i, IEEE 802.3u, IEEE 802.3ac, IEEE802.3ad, IEEE 802.3z, IEEE 802.3x, IEEE 802.1p, IEEE 802.1Q, IEEE 802.1s, IEEE 802.1X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Двойной вход питания 24 Вольт постоянного тока 
До 7 Вт
Механические характеристики
Размеры
53.6 x 135 x 106.5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v>
      </c>
    </row>
    <row r="168" spans="1:34" ht="165" hidden="1" x14ac:dyDescent="0.25">
      <c r="A168" s="2">
        <v>44895</v>
      </c>
      <c r="B168">
        <f>VLOOKUP(C168,Лист1!$B$1:$N$98,2,0)</f>
        <v>8517620003</v>
      </c>
      <c r="C168" s="5" t="s">
        <v>243</v>
      </c>
      <c r="D168" s="5" t="str">
        <f>VLOOKUP(C168,Лист1!$B$2:$T$292,14,0)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168">
        <v>2</v>
      </c>
      <c r="F168" s="19">
        <v>48</v>
      </c>
      <c r="G168" s="19">
        <f t="shared" si="20"/>
        <v>96</v>
      </c>
      <c r="H168" t="str">
        <f>VLOOKUP(C168,Лист1!$B$1:$N$198,4,0)</f>
        <v>SICOM3028GPT-L3G-MB-HV-HV-S - ПРОМЫШЛЕННЫЕ КОММУТАТОРЫ С ШИРОКИМ СПЕКТРОМ СФЕР ПРИМЕНЕНИЯ И МОДУЛЬНЫМ ДИЗАЙНОМ ДЛЯ ПРОСТОТЫ МАСШТАБИРОВАНИЯ И РАСШИРЕНИЯ ФУНКЦИОНАЛА УСТРОЙСТВА. SICOM3028GPT-L3G МОГУТ ИМЕТЬ ДО 28 ГИГАБИТНЫХ ПОРТОВ. ПРИ ЭТОМ ВОЗМОЖНА ПРАКТИЧЕСКИ ЛЮБАЯ КОМБИНАЦИЯ МЕДНЫХ И ОПТИЧЕСКИХ ПОРТОВ. 
ПИТАНИЕ:
НАПРЯЖЕНИЕ ПИТАНИЯ: 220VAC/DC (85-264VAC/77-370VDC)  
МЕХАНИЧЕСКИЕ ХАРАКТЕРИСТИКИ:
РАЗМЕРЫ 482.6 X 44 X 360 ММ 
КРЕПЛЕНИЕ  19" СТОЙКА  КЛАСС ЗАЩИТЫ 
IP40  ВЕС  10 КГ  
РАБОЧАЯ ТЕМПЕРАТУРА  ОТ -40 ДО +85С  
ТЕМПЕРАТУРА ХРАНЕНИЯ  -40 ДО +85C  
ВЛАЖНОСТЬ  ОТ 5 ДО 95% (БЕЗ КОНДЕНСАТА)  
MTBF  368000 ЧАСОВ  
ГАРАНТИЯ  5 ЛЕТ</v>
      </c>
      <c r="J168" t="s">
        <v>18</v>
      </c>
      <c r="K168">
        <v>156</v>
      </c>
      <c r="L168" t="s">
        <v>10</v>
      </c>
      <c r="M168" t="s">
        <v>19</v>
      </c>
      <c r="N168" t="s">
        <v>13</v>
      </c>
      <c r="O168" t="s">
        <v>82</v>
      </c>
      <c r="P168">
        <v>10052</v>
      </c>
      <c r="Q168" t="str">
        <f>VLOOKUP(C168,Лист1!$B$1:$N$142,5,0)</f>
        <v>RU0000056712</v>
      </c>
      <c r="R168" s="4">
        <f>VLOOKUP(C168,Лист1!$B$1:$N$142,6,0)</f>
        <v>44761</v>
      </c>
      <c r="S168" s="4">
        <f>VLOOKUP(C168,Лист1!$B$1:$N$142,7,0)</f>
        <v>44761</v>
      </c>
      <c r="T168" s="4">
        <f>VLOOKUP(C168,Лист1!$B$1:$N$142,8,0)</f>
        <v>48579</v>
      </c>
      <c r="U168" s="10">
        <f>VLOOKUP(C168,Лист1!$B$1:$N$142,9,0)</f>
        <v>0.2</v>
      </c>
      <c r="V168" s="10">
        <f t="shared" si="17"/>
        <v>0.4</v>
      </c>
      <c r="W168">
        <v>1</v>
      </c>
      <c r="X168" s="1">
        <f t="shared" si="21"/>
        <v>1.125</v>
      </c>
      <c r="Y168" s="1" t="s">
        <v>78</v>
      </c>
      <c r="Z168" s="3" t="s">
        <v>182</v>
      </c>
      <c r="AA168" s="2" t="s">
        <v>246</v>
      </c>
      <c r="AB168" s="2">
        <v>44826</v>
      </c>
      <c r="AC168" s="2">
        <v>44826</v>
      </c>
      <c r="AD168" s="2">
        <f>VLOOKUP(C168,Лист1!$B$1:$N$92,13,0)</f>
        <v>46651</v>
      </c>
      <c r="AE168" t="s">
        <v>10</v>
      </c>
      <c r="AF168" t="s">
        <v>288</v>
      </c>
      <c r="AG168" t="s">
        <v>224</v>
      </c>
      <c r="AH168" t="str">
        <f>VLOOKUP(C168,Лист1!$B$3:$P$289,15,0)</f>
        <v xml:space="preserve">OPAL5L-5T-LV-LV - промышленные коммутаторы с пониженным потреблением питания, которые могут применяться в ветроэнергетике, распределительных сетях, подстанциях, энергетических SCADA-системах, системах водоочистки, на автомагистралях, в металлургии и других сферах.
Характеристики
Порты
10/100Base-TX 
5
Системная производительность
Стандарты: 
IEEE 802.3i, IEEE 802.3u
Пропускная способность устройства 
5.3 Mpps 
Питание
Напряжение питания 
Двойной вход питания 24 Вольт постоянного тока 
До 7 Вт
Механические характеристики
Размеры
29,6 x 114,5 x 68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v>
      </c>
    </row>
    <row r="169" spans="1:34" ht="150" hidden="1" x14ac:dyDescent="0.25">
      <c r="A169" s="2">
        <v>44907</v>
      </c>
      <c r="B169">
        <f>VLOOKUP(C169,Лист1!$B$1:$N$98,2,0)</f>
        <v>8517620003</v>
      </c>
      <c r="C169" s="5" t="s">
        <v>289</v>
      </c>
      <c r="D169" s="5" t="str">
        <f>VLOOKUP(C169,Лист1!$B$2:$T$292,14,0)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консольным кабелем.</v>
      </c>
      <c r="E169">
        <v>19</v>
      </c>
      <c r="F169" s="19">
        <v>683</v>
      </c>
      <c r="G169" s="19">
        <f t="shared" si="20"/>
        <v>12977</v>
      </c>
      <c r="H169" t="str">
        <f>VLOOKUP(C169,Лист1!$B$1:$N$198,4,0)</f>
        <v xml:space="preserve">SYM3000A - серия гигабитных управляемых коммутаторов на DIN-рейку, разработанных для систем передачи данных в энергетике, на транспорте, в горнодобывающей промышленности и др. Коммутатор имеет до 12 гигабитных SFP разъемов и до 16 гигабитных RJ45 портов. Прочный корпус без вентилятора с гофрированной поверхностью, способность работать в широком температурном диапазоне позволяет оборудованию стабильно работать в экстремальных промышленных условиях. В данном устройстве реализована поддержка протокола синхронизации точного времени IEEE1588 PTPv2 с точностью синхронизации 100нс.
Характеристики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Двойной вход питания 24 Вольт постоянного тока (18-72VDC)
До 10 Вт
Механические характеристики
Размеры
102х135х137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v>
      </c>
      <c r="J169" t="s">
        <v>18</v>
      </c>
      <c r="K169">
        <v>156</v>
      </c>
      <c r="L169" t="s">
        <v>10</v>
      </c>
      <c r="M169" t="s">
        <v>19</v>
      </c>
      <c r="N169" t="s">
        <v>13</v>
      </c>
      <c r="O169" t="s">
        <v>82</v>
      </c>
      <c r="P169">
        <v>10052</v>
      </c>
      <c r="Q169" t="s">
        <v>94</v>
      </c>
      <c r="R169" s="4">
        <f>VLOOKUP(C169,Лист1!$B$1:$N$142,6,0)</f>
        <v>44099</v>
      </c>
      <c r="S169" s="4">
        <f>VLOOKUP(C169,Лист1!$B$1:$N$142,7,0)</f>
        <v>44099</v>
      </c>
      <c r="T169" s="4">
        <f>VLOOKUP(C169,Лист1!$B$1:$N$142,8,0)</f>
        <v>47848</v>
      </c>
      <c r="U169" s="10">
        <f>VLOOKUP(C169,Лист1!$B$1:$N$142,9,0)</f>
        <v>1.9</v>
      </c>
      <c r="V169" s="10">
        <f t="shared" si="17"/>
        <v>36.1</v>
      </c>
      <c r="W169">
        <v>38</v>
      </c>
      <c r="X169" s="1">
        <v>45</v>
      </c>
      <c r="Y169" s="1" t="s">
        <v>78</v>
      </c>
      <c r="Z169" s="3" t="s">
        <v>182</v>
      </c>
      <c r="AA169" s="2" t="s">
        <v>156</v>
      </c>
      <c r="AB169" s="2">
        <f>VLOOKUP(C169,Лист1!$B$1:$N$92,11,0)</f>
        <v>44330</v>
      </c>
      <c r="AC169" s="2">
        <f>VLOOKUP(C169,Лист1!$B$1:$N$92,12,0)</f>
        <v>44330</v>
      </c>
      <c r="AD169" s="2">
        <f>VLOOKUP(C169,Лист1!$B$1:$N$92,13,0)</f>
        <v>46154</v>
      </c>
      <c r="AE169" t="s">
        <v>10</v>
      </c>
      <c r="AF169" t="s">
        <v>302</v>
      </c>
      <c r="AG169" t="s">
        <v>223</v>
      </c>
      <c r="AH169" t="str">
        <f>VLOOKUP(C169,Лист1!$B$3:$P$289,15,0)</f>
        <v xml:space="preserve">SYM3000A - серия гигабитных управляемых коммутаторов на DIN-рейку, разработанных для систем передачи данных в энергетике, на транспорте, в горнодобывающей промышленности и др. Коммутатор имеет до 12 гигабитных SFP разъемов и до 16 гигабитных RJ45 портов. Прочный корпус без вентилятора с гофрированной поверхностью, способность работать в широком температурном диапазоне позволяет оборудованию стабильно работать в экстремальных промышленных условиях. В данном устройстве реализована поддержка протокола синхронизации точного времени IEEE1588 PTPv2 с точностью синхронизации 100нс.
Характеристики
Порты
10/100/1000Base-TX Ethernet RJ45
16 шт.
100/1000Base-X Ethernet SFP
4 шт.
Системная производительность
Стандарты: 
IEEE802.3i, IEEE802.3u, IEEE802.3ab, IEEE802.3z, IEEE 802.3ad, IEEE 802.1d, IEEE 802.1w, IEEE802.3x, IEEE802.1p, IEEE802.1Q, IEEE802.1s, IEEE 802.1x, IEEE 802.1ab, IEEE1588 V2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Двойной вход питания 24 Вольт постоянного тока (18-72VDC)
До 10 Вт
Механические характеристики
Размеры
102х135х137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v>
      </c>
    </row>
    <row r="170" spans="1:34" ht="150" hidden="1" x14ac:dyDescent="0.25">
      <c r="A170" s="2">
        <v>44907</v>
      </c>
      <c r="B170">
        <f>VLOOKUP(C170,Лист1!$B$1:$N$98,2,0)</f>
        <v>8517620003</v>
      </c>
      <c r="C170" s="5" t="s">
        <v>254</v>
      </c>
      <c r="D170" s="5" t="str">
        <f>VLOOKUP(C170,Лист1!$B$2:$T$292,14,0)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консольным кабелем.</v>
      </c>
      <c r="E170">
        <v>15</v>
      </c>
      <c r="F170" s="19">
        <v>347</v>
      </c>
      <c r="G170" s="19">
        <f t="shared" si="20"/>
        <v>5205</v>
      </c>
      <c r="H170" t="str">
        <f>VLOOKUP(C170,Лист1!$B$1:$N$198,4,0)</f>
        <v xml:space="preserve">SYM3000A-LITE-2GX8T-L3-L3 -  - промышленные коммутаторы с пониженным потреблением питания, которые могут применяться в ветроэнергетике, распределительных сетях, подстанциях, энергетических SCADA-системах, системах водоочистки, на автомагистралях, в металлургии и других сферах.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Двойной вход питания 24 Вольт постоянного тока 
До 7 Вт
Механические характеристики
Размеры
53.6 x 135 x 106.5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v>
      </c>
      <c r="J170" t="s">
        <v>18</v>
      </c>
      <c r="K170">
        <v>156</v>
      </c>
      <c r="L170" t="s">
        <v>10</v>
      </c>
      <c r="M170" t="s">
        <v>19</v>
      </c>
      <c r="N170" t="s">
        <v>13</v>
      </c>
      <c r="O170" t="s">
        <v>82</v>
      </c>
      <c r="P170">
        <v>10052</v>
      </c>
      <c r="Q170" t="str">
        <f>VLOOKUP(C170,Лист1!$B$1:$N$142,5,0)</f>
        <v>RU0000055090</v>
      </c>
      <c r="R170" s="4">
        <f>VLOOKUP(C170,Лист1!$B$1:$N$142,6,0)</f>
        <v>44543</v>
      </c>
      <c r="S170" s="4">
        <f>VLOOKUP(C170,Лист1!$B$1:$N$142,7,0)</f>
        <v>44543</v>
      </c>
      <c r="T170" s="4">
        <f>VLOOKUP(C170,Лист1!$B$1:$N$142,8,0)</f>
        <v>48213</v>
      </c>
      <c r="U170" s="10">
        <f>VLOOKUP(C170,Лист1!$B$1:$N$142,9,0)</f>
        <v>0.84</v>
      </c>
      <c r="V170" s="10">
        <f t="shared" si="17"/>
        <v>12.6</v>
      </c>
      <c r="W170">
        <v>13</v>
      </c>
      <c r="X170" s="1">
        <v>15</v>
      </c>
      <c r="Y170" s="1" t="s">
        <v>78</v>
      </c>
      <c r="Z170" s="3" t="s">
        <v>182</v>
      </c>
      <c r="AA170" s="2" t="s">
        <v>198</v>
      </c>
      <c r="AB170" s="2">
        <f>VLOOKUP(C170,Лист1!$B$1:$N$92,11,0)</f>
        <v>44547</v>
      </c>
      <c r="AC170" s="2">
        <f>VLOOKUP(C170,Лист1!$B$1:$N$92,12,0)</f>
        <v>44547</v>
      </c>
      <c r="AD170" s="2">
        <f>VLOOKUP(C170,Лист1!$B$1:$N$92,13,0)</f>
        <v>46371</v>
      </c>
      <c r="AE170" t="s">
        <v>10</v>
      </c>
      <c r="AF170" t="s">
        <v>302</v>
      </c>
      <c r="AG170" t="s">
        <v>223</v>
      </c>
      <c r="AH170" t="str">
        <f>VLOOKUP(C170,Лист1!$B$3:$P$289,15,0)</f>
        <v xml:space="preserve">SYM3000A-LITE-2GX8T-L3-L3 - промышленные коммутаторы с пониженным потреблением питания, которые могут применяться в ветроэнергетике, распределительных сетях, подстанциях, энергетических SCADA-системах, системах водоочистки, на автомагистралях, в металлургии и других сферах.
Характеристики
Порты
10/100Base-TX 
8
100/1000Base-X SFP
2 
Системная производительность
Стандарты: 
IEEE 802.3i, IEEE 802.3u, IEEE 802.3ac, IEEE802.3ad, IEEE 802.3z, IEEE 802.3x, IEEE 802.1p, IEEE 802.1Q, IEEE 802.1s, IEEE 802.1X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Двойной вход питания 24 Вольт постоянного тока 
До 7 Вт
Механические характеристики
Размеры
53.6 x 135 x 106.5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v>
      </c>
    </row>
    <row r="171" spans="1:34" ht="165" hidden="1" x14ac:dyDescent="0.25">
      <c r="A171" s="2">
        <v>44907</v>
      </c>
      <c r="B171">
        <f>VLOOKUP(C171,Лист1!$B$1:$N$98,2,0)</f>
        <v>8517620003</v>
      </c>
      <c r="C171" s="5" t="s">
        <v>169</v>
      </c>
      <c r="D171" s="5" t="str">
        <f>VLOOKUP(C171,Лист1!$B$2:$T$292,14,0)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171">
        <v>5</v>
      </c>
      <c r="F171" s="19">
        <v>347</v>
      </c>
      <c r="G171" s="19">
        <f t="shared" si="20"/>
        <v>1735</v>
      </c>
      <c r="H171" t="str">
        <f>VLOOKUP(C171,Лист1!$B$1:$N$198,4,0)</f>
        <v xml:space="preserve">SYM3000A-4SFP8T-L2-L2- гигабитные управляемые коммутаторы на DIN-рейку, разработанных для систем передачи данных в энергетике, на транспорте, в горнодобывающей промышленности и др. Коммутатор имеет до 12 гигабитных SFP разъемов и до 16 гигабитных RJ45 портов. Прочный корпус без вентилятора с гофрированной поверхностью, способность работать в широком температурном диапазоне позволяет оборудованию стабильно работать в экстремальных промышленных условиях. В данном устройстве реализована поддержка протокола синхронизации точного времени IEEE1588 PTPv2 с точностью синхронизации 100нс.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Двойной вход питания 24 Вольт постоянного тока (18-72VDC)
До 10 Вт
Механические характеристики
Размеры
66×135×107.5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v>
      </c>
      <c r="J171" t="s">
        <v>18</v>
      </c>
      <c r="K171">
        <v>156</v>
      </c>
      <c r="L171" t="s">
        <v>10</v>
      </c>
      <c r="M171" t="s">
        <v>19</v>
      </c>
      <c r="N171" t="s">
        <v>13</v>
      </c>
      <c r="O171" t="s">
        <v>82</v>
      </c>
      <c r="P171">
        <v>10052</v>
      </c>
      <c r="Q171" t="str">
        <f>VLOOKUP(C171,Лист1!$B$1:$N$142,5,0)</f>
        <v>RU0000049917</v>
      </c>
      <c r="R171" s="4">
        <f>VLOOKUP(C171,Лист1!$B$1:$N$142,6,0)</f>
        <v>44099</v>
      </c>
      <c r="S171" s="4">
        <f>VLOOKUP(C171,Лист1!$B$1:$N$142,7,0)</f>
        <v>44099</v>
      </c>
      <c r="T171" s="4">
        <f>VLOOKUP(C171,Лист1!$B$1:$N$142,8,0)</f>
        <v>47848</v>
      </c>
      <c r="U171" s="10">
        <f>VLOOKUP(C171,Лист1!$B$1:$N$142,9,0)</f>
        <v>1.5</v>
      </c>
      <c r="V171" s="10">
        <f t="shared" si="17"/>
        <v>7.5</v>
      </c>
      <c r="W171">
        <v>7.5</v>
      </c>
      <c r="X171" s="1">
        <v>8</v>
      </c>
      <c r="Y171" s="1" t="s">
        <v>78</v>
      </c>
      <c r="Z171" s="3" t="s">
        <v>182</v>
      </c>
      <c r="AA171" s="2" t="s">
        <v>156</v>
      </c>
      <c r="AB171" s="2">
        <f>VLOOKUP(C171,Лист1!$B$1:$N$92,11,0)</f>
        <v>44330</v>
      </c>
      <c r="AC171" s="2">
        <f>VLOOKUP(C171,Лист1!$B$1:$N$92,12,0)</f>
        <v>44330</v>
      </c>
      <c r="AD171" s="2">
        <f>VLOOKUP(C171,Лист1!$B$1:$N$92,13,0)</f>
        <v>46154</v>
      </c>
      <c r="AE171" t="s">
        <v>10</v>
      </c>
      <c r="AF171" t="s">
        <v>302</v>
      </c>
      <c r="AG171" t="s">
        <v>223</v>
      </c>
      <c r="AH171" t="str">
        <f>VLOOKUP(C171,Лист1!$B$3:$P$289,15,0)</f>
        <v xml:space="preserve">SYM3000A - серия гигабитных управляемых коммутаторов на DIN-рейку, разработанных для систем передачи данных в энергетике, на транспорте, в горнодобывающей промышленности и др. Коммутатор имеет до 12 гигабитных SFP разъемов и до 16 гигабитных RJ45 портов. Прочный корпус без вентилятора с гофрированной поверхностью, способность работать в широком температурном диапазоне позволяет оборудованию стабильно работать в экстремальных промышленных условиях. В данном устройстве реализована поддержка протокола синхронизации точного времени IEEE1588 PTPv2 с точностью синхронизации 100нс.
Характеристики
Порты
10/100Base-TX Ethernet RJ45
8 шт.
100Base-X Ethernet SFP
4 шт.
Системная производительность
Стандарты: 
IEEE802.3i, IEEE802.3u, IEEE802.3ab, IEEE802.3z, IEEE 802.3ad, IEEE 802.1d, IEEE 802.1w, IEEE802.3x, IEEE802.1p, IEEE802.1Q, IEEE802.1s, IEEE 802.1x, IEEE 802.1ab, IEEE1588 V2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Двойной вход питания 24 Вольт постоянного тока (18-72VDC)
До 10 Вт
Механические характеристики
Размеры
66*135*107.5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v>
      </c>
    </row>
    <row r="172" spans="1:34" ht="165" hidden="1" x14ac:dyDescent="0.25">
      <c r="A172" s="2">
        <v>44907</v>
      </c>
      <c r="B172">
        <f>VLOOKUP(C172,Лист1!$B$1:$N$98,2,0)</f>
        <v>8517620003</v>
      </c>
      <c r="C172" s="5" t="s">
        <v>217</v>
      </c>
      <c r="D172" s="5" t="str">
        <f>VLOOKUP(C172,Лист1!$B$2:$T$292,14,0)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172">
        <v>1</v>
      </c>
      <c r="F172" s="19">
        <v>215</v>
      </c>
      <c r="G172" s="19">
        <f t="shared" si="20"/>
        <v>215</v>
      </c>
      <c r="H172" t="str">
        <f>VLOOKUP(C172,Лист1!$B$1:$N$198,4,0)</f>
        <v xml:space="preserve">SYM3000A-LITE-8T-L3-L3 - промышленные коммутаторы с пониженным потреблением питания, которые могут применяться в ветроэнергетике, распределительных сетях, подстанциях, энергетических SCADA-системах, системах водоочистки, на автомагистралях, в металлургии и других сферах.
Характеристики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Двойной вход питания 24 Вольт постоянного тока 
До 7 Вт
Механические характеристики
Размеры
53.6 x 135 x 106.5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v>
      </c>
      <c r="J172" t="s">
        <v>18</v>
      </c>
      <c r="K172">
        <v>156</v>
      </c>
      <c r="L172" t="s">
        <v>10</v>
      </c>
      <c r="M172" t="s">
        <v>19</v>
      </c>
      <c r="N172" t="s">
        <v>13</v>
      </c>
      <c r="O172" t="s">
        <v>82</v>
      </c>
      <c r="P172">
        <v>10052</v>
      </c>
      <c r="Q172" t="str">
        <f>VLOOKUP(C172,Лист1!$B$1:$N$142,5,0)</f>
        <v>RU0000055090</v>
      </c>
      <c r="R172" s="4">
        <f>VLOOKUP(C172,Лист1!$B$1:$N$142,6,0)</f>
        <v>44543</v>
      </c>
      <c r="S172" s="4">
        <f>VLOOKUP(C172,Лист1!$B$1:$N$142,7,0)</f>
        <v>44543</v>
      </c>
      <c r="T172" s="4">
        <f>VLOOKUP(C172,Лист1!$B$1:$N$142,8,0)</f>
        <v>48213</v>
      </c>
      <c r="U172" s="10">
        <f>VLOOKUP(C172,Лист1!$B$1:$N$142,9,0)</f>
        <v>0.84</v>
      </c>
      <c r="V172" s="10">
        <f t="shared" si="17"/>
        <v>0.84</v>
      </c>
      <c r="W172">
        <v>1.5</v>
      </c>
      <c r="X172" s="1">
        <v>1.5</v>
      </c>
      <c r="Y172" s="1" t="s">
        <v>78</v>
      </c>
      <c r="Z172" s="3" t="s">
        <v>182</v>
      </c>
      <c r="AA172" s="2" t="str">
        <f>VLOOKUP(C172,Лист1!$B$1:$N$92,10,0)</f>
        <v>ЕАЭС N RU Д-CN.РА03.В.59715/21</v>
      </c>
      <c r="AB172" s="2">
        <f>VLOOKUP(C172,Лист1!$B$1:$N$92,11,0)</f>
        <v>44547</v>
      </c>
      <c r="AC172" s="2">
        <f>VLOOKUP(C172,Лист1!$B$1:$N$92,12,0)</f>
        <v>44547</v>
      </c>
      <c r="AD172" s="2">
        <f>VLOOKUP(C172,Лист1!$B$1:$N$92,13,0)</f>
        <v>46371</v>
      </c>
      <c r="AE172" t="s">
        <v>10</v>
      </c>
      <c r="AF172" t="s">
        <v>302</v>
      </c>
      <c r="AG172" t="s">
        <v>223</v>
      </c>
      <c r="AH172" t="str">
        <f>VLOOKUP(C172,Лист1!$B$3:$P$289,15,0)</f>
        <v xml:space="preserve">SYM3000A-LITE-8T-L3-L3 - промышленные коммутаторы с пониженным потреблением питания, которые могут применяться в ветроэнергетике, распределительных сетях, подстанциях, энергетических SCADA-системах, системах водоочистки, на автомагистралях, в металлургии и других сферах.
Характеристики
Порты
10/100Base-TX 
8
Системная производительность
Стандарты: 
IEEE 802.3i, IEEE 802.3u, IEEE 802.3ac, IEEE802.3ad, IEEE 802.3z, IEEE 802.3x, IEEE 802.1p, IEEE 802.1Q, IEEE 802.1s, IEEE 802.1X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Двойной вход питания 24 Вольт постоянного тока 
До 7 Вт
Механические характеристики
Размеры
53.6 x 135 x 106.5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v>
      </c>
    </row>
    <row r="173" spans="1:34" ht="150" hidden="1" x14ac:dyDescent="0.25">
      <c r="A173" s="2">
        <v>44907</v>
      </c>
      <c r="B173">
        <f>VLOOKUP(C173,Лист1!$B$1:$N$98,2,0)</f>
        <v>8517620003</v>
      </c>
      <c r="C173" s="5" t="s">
        <v>272</v>
      </c>
      <c r="D173" s="5" t="str">
        <f>VLOOKUP(C173,Лист1!$B$2:$T$292,14,0)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консольным кабелем.</v>
      </c>
      <c r="E173">
        <v>1</v>
      </c>
      <c r="F173" s="19">
        <v>604</v>
      </c>
      <c r="G173" s="19">
        <f t="shared" si="20"/>
        <v>604</v>
      </c>
      <c r="H173" t="str">
        <f>VLOOKUP(C173,Лист1!$B$1:$N$198,4,0)</f>
        <v xml:space="preserve">SYM3000A-2GX16GE-L2-L2 - серия гигабитных управляемых коммутаторов на DIN-рейку, разработанных для систем передачи данных в энергетике, на транспорте, в горнодобывающей промышленности и др. Коммутатор имеет до 12 гигабитных SFP разъемов и до 16 гигабитных RJ45 портов. Прочный корпус без вентилятора с гофрированной поверхностью, способность работать в широком температурном диапазоне позволяет оборудованию стабильно работать в экстремальных промышленных условиях. В данном устройстве реализована поддержка протокола синхронизации точного времени IEEE1588 PTPv2 с точностью синхронизации 100нс.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Двойной вход питания 24 Вольт постоянного тока (18-72VDC)
До 10 Вт
Механические характеристики
Размеры
102х135х137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v>
      </c>
      <c r="J173" t="s">
        <v>18</v>
      </c>
      <c r="K173">
        <v>156</v>
      </c>
      <c r="L173" t="s">
        <v>10</v>
      </c>
      <c r="M173" t="s">
        <v>19</v>
      </c>
      <c r="N173" t="s">
        <v>13</v>
      </c>
      <c r="O173" t="s">
        <v>82</v>
      </c>
      <c r="P173">
        <v>10052</v>
      </c>
      <c r="Q173" t="str">
        <f>VLOOKUP(C173,Лист1!$B$1:$N$142,5,0)</f>
        <v>RU0000049917</v>
      </c>
      <c r="R173" s="4">
        <f>VLOOKUP(C173,Лист1!$B$1:$N$142,6,0)</f>
        <v>44099</v>
      </c>
      <c r="S173" s="4">
        <f>VLOOKUP(C173,Лист1!$B$1:$N$142,7,0)</f>
        <v>44099</v>
      </c>
      <c r="T173" s="4">
        <f>VLOOKUP(C173,Лист1!$B$1:$N$142,8,0)</f>
        <v>47848</v>
      </c>
      <c r="U173" s="10">
        <f>VLOOKUP(C173,Лист1!$B$1:$N$142,9,0)</f>
        <v>0.3</v>
      </c>
      <c r="V173" s="10">
        <f t="shared" si="17"/>
        <v>0.3</v>
      </c>
      <c r="W173">
        <v>1.5</v>
      </c>
      <c r="X173" s="1">
        <v>1.5</v>
      </c>
      <c r="Y173" s="1" t="s">
        <v>78</v>
      </c>
      <c r="Z173" s="3" t="s">
        <v>182</v>
      </c>
      <c r="AA173" s="2" t="s">
        <v>156</v>
      </c>
      <c r="AB173" s="2">
        <f>VLOOKUP(C173,Лист1!$B$1:$N$92,11,0)</f>
        <v>44330</v>
      </c>
      <c r="AC173" s="2">
        <f>VLOOKUP(C173,Лист1!$B$1:$N$92,12,0)</f>
        <v>44330</v>
      </c>
      <c r="AD173" s="2">
        <f>VLOOKUP(C173,Лист1!$B$1:$N$92,13,0)</f>
        <v>46154</v>
      </c>
      <c r="AE173" t="s">
        <v>10</v>
      </c>
      <c r="AF173" t="s">
        <v>302</v>
      </c>
      <c r="AG173" t="s">
        <v>223</v>
      </c>
      <c r="AH173" t="str">
        <f>VLOOKUP(C173,Лист1!$B$3:$P$289,15,0)</f>
        <v xml:space="preserve">SYM3000A-2GX16GE-L2-L2 - серия гигабитных управляемых коммутаторов на DIN-рейку, разработанных для систем передачи данных в энергетике, на транспорте, в горнодобывающей промышленности и др. Коммутатор имеет до 12 гигабитных SFP разъемов и до 16 гигабитных RJ45 портов. Прочный корпус без вентилятора с гофрированной поверхностью, способность работать в широком температурном диапазоне позволяет оборудованию стабильно работать в экстремальных промышленных условиях. В данном устройстве реализована поддержка протокола синхронизации точного времени IEEE1588 PTPv2 с точностью синхронизации 100нс.
Характеристики
Порты
10/100/1000Base-TX Ethernet RJ45
16 шт.
100/1000Base-X Ethernet SFP
2 шт.
Системная производительность
Стандарты: 
IEEE802.3i, IEEE802.3u, IEEE802.3ab, IEEE802.3z, IEEE 802.3ad, IEEE 802.1d, IEEE 802.1w, IEEE802.3x, IEEE802.1p, IEEE802.1Q, IEEE802.1s, IEEE 802.1x, IEEE 802.1ab, IEEE1588 V2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Двойной вход питания 24 Вольт постоянного тока (18-72VDC)
До 10 Вт
Механические характеристики
Размеры
102х135х137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v>
      </c>
    </row>
    <row r="174" spans="1:34" ht="64.5" hidden="1" customHeight="1" x14ac:dyDescent="0.25">
      <c r="A174" s="2">
        <v>44907</v>
      </c>
      <c r="B174">
        <f>VLOOKUP(C174,Лист1!$B$1:$N$98,2,0)</f>
        <v>8517620003</v>
      </c>
      <c r="C174" s="5" t="s">
        <v>291</v>
      </c>
      <c r="D174" s="5" t="str">
        <f>VLOOKUP(C174,Лист1!$B$2:$T$292,14,0)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консольным кабелем.</v>
      </c>
      <c r="E174">
        <v>8</v>
      </c>
      <c r="F174" s="19">
        <v>368</v>
      </c>
      <c r="G174" s="19">
        <f t="shared" si="20"/>
        <v>2944</v>
      </c>
      <c r="H174" t="str">
        <f>VLOOKUP(C174,Лист1!$B$1:$N$198,4,0)</f>
        <v xml:space="preserve">SYM3000A-2GX8T-L2-L2 - серия гигабитных управляемых коммутаторов на DIN-рейку, разработанных для систем передачи данных в энергетике, на транспорте, в горнодобывающей промышленности и др. Коммутатор имеет до 12 гигабитных SFP разъемов и до 16 гигабитных RJ45 портов. Прочный корпус без вентилятора с гофрированной поверхностью, способность работать в широком температурном диапазоне позволяет оборудованию стабильно работать в экстремальных промышленных условиях. В данном устройстве реализована поддержка протокола синхронизации точного времени IEEE1588 PTPv2 с точностью синхронизации 100нс.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Двойной вход питания 24 Вольт постоянного тока (18-72VDC)
До 10 Вт
Механические характеристики
Размеры
66×135×107.5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v>
      </c>
      <c r="J174" t="s">
        <v>18</v>
      </c>
      <c r="K174">
        <v>156</v>
      </c>
      <c r="L174" t="s">
        <v>10</v>
      </c>
      <c r="M174" t="s">
        <v>19</v>
      </c>
      <c r="N174" t="s">
        <v>13</v>
      </c>
      <c r="O174" t="s">
        <v>82</v>
      </c>
      <c r="P174">
        <v>10052</v>
      </c>
      <c r="Q174" t="str">
        <f>VLOOKUP(C174,Лист1!$B$1:$N$142,5,0)</f>
        <v>RU0000049917</v>
      </c>
      <c r="R174" s="4">
        <f>VLOOKUP(C174,Лист1!$B$1:$N$142,6,0)</f>
        <v>44099</v>
      </c>
      <c r="S174" s="4">
        <f>VLOOKUP(C174,Лист1!$B$1:$N$142,7,0)</f>
        <v>44099</v>
      </c>
      <c r="T174" s="4">
        <f>VLOOKUP(C174,Лист1!$B$1:$N$142,8,0)</f>
        <v>47848</v>
      </c>
      <c r="U174" s="10">
        <f>VLOOKUP(C174,Лист1!$B$1:$N$142,9,0)</f>
        <v>1.1000000000000001</v>
      </c>
      <c r="V174" s="10">
        <f t="shared" ref="V174:V215" si="25">U174*E174</f>
        <v>8.8000000000000007</v>
      </c>
      <c r="W174">
        <v>12</v>
      </c>
      <c r="X174" s="1">
        <v>14</v>
      </c>
      <c r="Y174" s="1" t="s">
        <v>78</v>
      </c>
      <c r="Z174" s="3" t="s">
        <v>182</v>
      </c>
      <c r="AA174" s="2" t="s">
        <v>156</v>
      </c>
      <c r="AB174" s="2">
        <f>VLOOKUP(C174,Лист1!$B$1:$N$92,11,0)</f>
        <v>44330</v>
      </c>
      <c r="AC174" s="2">
        <f>VLOOKUP(C174,Лист1!$B$1:$N$92,12,0)</f>
        <v>44330</v>
      </c>
      <c r="AD174" s="2">
        <f>VLOOKUP(C174,Лист1!$B$1:$N$92,13,0)</f>
        <v>46154</v>
      </c>
      <c r="AE174" t="s">
        <v>10</v>
      </c>
      <c r="AF174" t="s">
        <v>302</v>
      </c>
      <c r="AG174" t="s">
        <v>223</v>
      </c>
      <c r="AH174" t="str">
        <f>VLOOKUP(C174,Лист1!$B$3:$P$289,15,0)</f>
        <v xml:space="preserve">SYM3000A - серия гигабитных управляемых коммутаторов на DIN-рейку, разработанных для систем передачи данных в энергетике, на транспорте, в горнодобывающей промышленности и др. Коммутатор имеет до 12 гигабитных SFP разъемов и до 16 гигабитных RJ45 портов. Прочный корпус без вентилятора с гофрированной поверхностью, способность работать в широком температурном диапазоне позволяет оборудованию стабильно работать в экстремальных промышленных условиях. В данном устройстве реализована поддержка протокола синхронизации точного времени IEEE1588 PTPv2 с точностью синхронизации 100нс.
Характеристики
Порты
10/100Base-TX Ethernet RJ45
8 шт.
100/1000Base-X Ethernet SFP
2 шт.
Системная производительность
Стандарты: 
IEEE802.3i, IEEE802.3u, IEEE802.3ab, IEEE802.3z, IEEE 802.3ad, IEEE 802.1d, IEEE 802.1w, IEEE802.3x, IEEE802.1p, IEEE802.1Q, IEEE802.1s, IEEE 802.1x, IEEE 802.1ab, IEEE1588 V2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Двойной вход питания 24 Вольт постоянного тока (18-72VDC)
До 10 Вт
Механические характеристики
Размеры
66×135×107.5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v>
      </c>
    </row>
    <row r="175" spans="1:34" ht="150" hidden="1" x14ac:dyDescent="0.25">
      <c r="A175" s="2">
        <v>44907</v>
      </c>
      <c r="B175">
        <f>VLOOKUP(C175,Лист1!$B$1:$N$98,2,0)</f>
        <v>8517620003</v>
      </c>
      <c r="C175" s="5" t="s">
        <v>293</v>
      </c>
      <c r="D175" s="5" t="str">
        <f>VLOOKUP(C175,Лист1!$B$2:$T$292,14,0)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консольным кабелем.</v>
      </c>
      <c r="E175">
        <v>3</v>
      </c>
      <c r="F175" s="19">
        <v>525</v>
      </c>
      <c r="G175" s="19">
        <f t="shared" si="20"/>
        <v>1575</v>
      </c>
      <c r="H175" t="str">
        <f>VLOOKUP(C175,Лист1!$B$1:$N$198,4,0)</f>
        <v xml:space="preserve">SYM3000A-2GX16T-L2-L2 -  гигабитные управляемые коммутаторы на DIN-рейку, разработанных для систем передачи данных в энергетике, на транспорте, в горнодобывающей промышленности и др. Коммутатор имеет до 12 гигабитных SFP разъемов и до 16 гигабитных RJ45 портов. Прочный корпус без вентилятора с гофрированной поверхностью, способность работать в широком температурном диапазоне позволяет оборудованию стабильно работать в экстремальных промышленных условиях. В данном устройстве реализована поддержка протокола синхронизации точного времени IEEE1588 PTPv2 с точностью синхронизации 100нс.
Характеристики
Порты
10/100Base-TX Ethernet RJ45
16 шт.
100/1000Base-X Ethernet SFP
2 шт.
Системная производительность
Стандарты: 
IEEE802.3i, IEEE802.3u, IEEE802.3ab, IEEE802.3z, IEEE 802.3ad, IEEE 802.1d, IEEE 802.1w, IEEE802.3x, IEEE802.1p, IEEE802.1Q, IEEE802.1s, IEEE 802.1x, IEEE 802.1ab, IEEE1588 V2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Двойной вход питания 24 Вольт постоянного тока (18-72VDC)
До 10 Вт
Механические характеристики
Размеры
102х135х137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v>
      </c>
      <c r="J175" t="s">
        <v>18</v>
      </c>
      <c r="K175">
        <v>156</v>
      </c>
      <c r="L175" t="s">
        <v>10</v>
      </c>
      <c r="M175" t="s">
        <v>19</v>
      </c>
      <c r="N175" t="s">
        <v>13</v>
      </c>
      <c r="O175" t="s">
        <v>82</v>
      </c>
      <c r="P175">
        <v>10052</v>
      </c>
      <c r="Q175" t="str">
        <f>VLOOKUP(C175,Лист1!$B$1:$N$142,5,0)</f>
        <v>RU0000049917</v>
      </c>
      <c r="R175" s="4">
        <f>VLOOKUP(C175,Лист1!$B$1:$N$142,6,0)</f>
        <v>44099</v>
      </c>
      <c r="S175" s="4">
        <f>VLOOKUP(C175,Лист1!$B$1:$N$142,7,0)</f>
        <v>44099</v>
      </c>
      <c r="T175" s="4">
        <f>VLOOKUP(C175,Лист1!$B$1:$N$142,8,0)</f>
        <v>47848</v>
      </c>
      <c r="U175" s="10">
        <f>VLOOKUP(C175,Лист1!$B$1:$N$142,9,0)</f>
        <v>1.1000000000000001</v>
      </c>
      <c r="V175" s="10">
        <f t="shared" si="25"/>
        <v>3.3000000000000003</v>
      </c>
      <c r="W175">
        <v>4.5</v>
      </c>
      <c r="X175" s="1">
        <v>5</v>
      </c>
      <c r="Y175" s="1" t="s">
        <v>78</v>
      </c>
      <c r="Z175" s="3" t="s">
        <v>182</v>
      </c>
      <c r="AA175" s="2" t="s">
        <v>156</v>
      </c>
      <c r="AB175" s="2">
        <f>VLOOKUP(C175,Лист1!$B$1:$N$92,11,0)</f>
        <v>44330</v>
      </c>
      <c r="AC175" s="2">
        <f>VLOOKUP(C175,Лист1!$B$1:$N$92,12,0)</f>
        <v>44330</v>
      </c>
      <c r="AD175" s="2">
        <f>VLOOKUP(C175,Лист1!$B$1:$N$92,13,0)</f>
        <v>46154</v>
      </c>
      <c r="AE175" t="s">
        <v>10</v>
      </c>
      <c r="AF175" t="s">
        <v>302</v>
      </c>
      <c r="AG175" t="s">
        <v>223</v>
      </c>
      <c r="AH175" t="str">
        <f>VLOOKUP(C175,Лист1!$B$3:$P$289,15,0)</f>
        <v xml:space="preserve">SYM3000A - серия гигабитных управляемых коммутаторов на DIN-рейку, разработанных для систем передачи данных в энергетике, на транспорте, в горнодобывающей промышленности и др. Коммутатор имеет до 12 гигабитных SFP разъемов и до 16 гигабитных RJ45 портов. Прочный корпус без вентилятора с гофрированной поверхностью, способность работать в широком температурном диапазоне позволяет оборудованию стабильно работать в экстремальных промышленных условиях. В данном устройстве реализована поддержка протокола синхронизации точного времени IEEE1588 PTPv2 с точностью синхронизации 100нс.
Характеристики
Порты
10/100Base-TX Ethernet RJ45
8 шт.
100/1000Base-X Ethernet SFP
2 шт.
Системная производительность
Стандарты: 
IEEE802.3i, IEEE802.3u, IEEE802.3ab, IEEE802.3z, IEEE 802.3ad, IEEE 802.1d, IEEE 802.1w, IEEE802.3x, IEEE802.1p, IEEE802.1Q, IEEE802.1s, IEEE 802.1x, IEEE 802.1ab, IEEE1588 V2 
Протоколы 
DT-Ring, DT-Ring+, DT-VLAN, DRP, MSTP; 
IGMP Snooping, GMRP; 
VLAN, GVRP, PVLAN;
Telnet, HTTP, HTTPS, SNMPv1/v2/v3, RMON, LLDP, SNTP, BootP, DHCP server/relay/client, DHCP Option 82; SSH, SSL, TACACS+, ACL; 
LACP, ARP, QoS, Modbus TCP 
Пропускная способность устройства 
5.3 Mpps 
Питание
Напряжение питания 
Двойной вход питания 24 Вольт постоянного тока (18-72VDC)
До 10 Вт
Механические характеристики
Размеры
66×135×107.5 мм
Крепление 
DIN-рейка или панель 
Класс защиты 
IP40 
Рабочая температура 
от -40 до +85С 
Температура хранения 
-40 до +85C 
Влажность 
от 5 до 95% (без конденсата) 
MTBF 
410000 часов 
Гарантия 
5 лет 
</v>
      </c>
    </row>
    <row r="176" spans="1:34" ht="42.75" customHeight="1" x14ac:dyDescent="0.25">
      <c r="A176" s="2">
        <v>44932</v>
      </c>
      <c r="B176">
        <f>VLOOKUP(C176,Лист1!$B$1:$N$98,2,0)</f>
        <v>8517620002</v>
      </c>
      <c r="C176" s="5" t="s">
        <v>114</v>
      </c>
      <c r="D176" s="5" t="str">
        <f>VLOOKUP(C176,Лист1!$B$2:$T$292,14,0)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176">
        <v>3</v>
      </c>
      <c r="F176" s="19">
        <v>2789</v>
      </c>
      <c r="G176" s="19">
        <f t="shared" si="20"/>
        <v>8367</v>
      </c>
      <c r="H176" t="str">
        <f>VLOOKUP(C176,Лист1!$B$1:$N$198,4,0)</f>
        <v xml:space="preserve">SICOM3028GPT-L2GT-MB-HV-HV-S - промышленные коммутаторы с широким спектром сфер применния и модульным дизайном для простоты масштабирования и расширения функционала устройства. Модели SICOM3028GPT-L2GT могут иметь до 28 гигабитных портов, а модели SICOM3028GPT-L2GT-MB-HV-HV-S до 24 портов 100 Мбит/с и до 4 гигабитных портов.. Устройства оборудованы PTP-картой для поддержки синхронизации времени (IEEE1588v2) на всех 28 портах устройства.
Коммутаторы крепятся в 19-дюймовую стойку (занимают 1U), крепятся передней или задней панелью. Устройства соответствуют IEC61850-3 и IEEE1613 для электроподстанций, имеют консольный Mini USB порт, соответствуют IEC62439-6, поддерживаюют VCT (Virtual Cable Test). Диапазон рабочих температур коммутаторов SICOM3028GPT-L2GT от -40° до +85°.
Протоколы
DT-Ring, DT-Ring+, MSTP, DRP; IGMP Snooping, GMRP;
VLAN, GVRP, PVLAN;
Telnet, HTTP, HTTPS, SNMPv1/v2/v3, RMON, LLDP, Bootp, DHCP server/relay/client, DHCP Option 82;
SNTP, PTP, RTC;
SSH, SSL, TACACS+, RADIUS, ACL; Syslog;
ARP, Modbus TCP, QoS, LACP
PRP, HSR
Длина волны
1310нм (одномод), 1550нм (одномод), 1310 (многомод)
Расстояние передачи
10~80км (одномод) , до 5 км (100M многомод) , до 2 км (1000M многомод)
Тип коннектора
Питание
Напряжение питания
Резервированное: 220Вольт переменного напряжения/Вольт постоянного напряжения (77-300VDC/85-264VAC)
Потребляемая мощность
До 42 Вт
Механические характеристики
Размеры
482.6мм x 44мм x 360мм
Крепление
19” стойка
Класс защиты
IP40
Рабочая температура
от -40 до +85С
Температура хранения
-40 до +85C
Влажность
от 5 до 95% (без конденсата)
MTBF
359000 часов
Гарантия
5 лет
</v>
      </c>
      <c r="J176" t="s">
        <v>18</v>
      </c>
      <c r="K176">
        <v>156</v>
      </c>
      <c r="L176" t="s">
        <v>10</v>
      </c>
      <c r="M176" t="s">
        <v>19</v>
      </c>
      <c r="N176" t="s">
        <v>13</v>
      </c>
      <c r="O176" t="s">
        <v>82</v>
      </c>
      <c r="P176">
        <v>10052</v>
      </c>
      <c r="Q176" t="str">
        <f>VLOOKUP(C176,Лист1!$B$1:$N$142,5,0)</f>
        <v>RU0000053245</v>
      </c>
      <c r="R176" s="4">
        <f>VLOOKUP(C176,Лист1!$B$1:$N$142,6,0)</f>
        <v>44383</v>
      </c>
      <c r="S176" s="4">
        <f>VLOOKUP(C176,Лист1!$B$1:$N$142,7,0)</f>
        <v>44383</v>
      </c>
      <c r="T176" s="4">
        <f>VLOOKUP(C176,Лист1!$B$1:$N$142,8,0)</f>
        <v>48213</v>
      </c>
      <c r="U176" s="10">
        <f>VLOOKUP(C176,Лист1!$B$1:$N$142,9,0)</f>
        <v>10</v>
      </c>
      <c r="V176" s="10">
        <f t="shared" si="25"/>
        <v>30</v>
      </c>
      <c r="W176" s="26">
        <v>30.6</v>
      </c>
      <c r="X176" s="1">
        <f>W176+W176*0.12</f>
        <v>34.271999999999998</v>
      </c>
      <c r="Y176" s="1" t="s">
        <v>78</v>
      </c>
      <c r="Z176" s="3" t="s">
        <v>182</v>
      </c>
      <c r="AA176" s="2" t="str">
        <f>VLOOKUP(C176,Лист1!$B$1:$N$92,10,0)</f>
        <v>ЕАЭС N RU Д-CN.КА01.В.23216/20</v>
      </c>
      <c r="AB176" s="2">
        <f>VLOOKUP(C176,Лист1!$B$1:$N$92,11,0)</f>
        <v>43908</v>
      </c>
      <c r="AC176" s="2">
        <f>VLOOKUP(C176,Лист1!$B$1:$N$92,12,0)</f>
        <v>43908</v>
      </c>
      <c r="AD176" s="2">
        <f>VLOOKUP(C176,Лист1!$B$1:$N$92,13,0)</f>
        <v>45733</v>
      </c>
      <c r="AE176" t="s">
        <v>10</v>
      </c>
      <c r="AG176" t="s">
        <v>224</v>
      </c>
      <c r="AH176" t="str">
        <f>VLOOKUP(C176,Лист1!$B$3:$P$289,15,0)</f>
        <v xml:space="preserve">SICOM3028GPT-L2GT-MB-HV-HV-S - промышленные коммутаторы с широким спектром сфер применния и модульным дизайном для простоты масштабирования и расширения функционала устройства. Модели SICOM3028GPT-L2GT могут иметь до 28 гигабитных портов, а модели SICOM3028GPT-L2GT-MB-HV-HV-S до 24 портов 100 Мбит/с и до 4 гигабитных портов.. Устройства оборудованы PTP-картой для поддержки синхронизации времени (IEEE1588v2) на всех 28 портах устройства.
Коммутаторы крепятся в 19-дюймовую стойку (занимают 1U), крепятся передней или задней панелью. Устройства соответствуют IEC61850-3 и IEEE1613 для электроподстанций, имеют консольный Mini USB порт, соответствуют IEC62439-6, поддерживаюют VCT (Virtual Cable Test). Диапазон рабочих температур коммутаторов SICOM3028GPT-L2GT от -40° до +85°.
Характеристики
Порты
Медные или оптические порты 100 Мбит/с
до 24
Медные или оптические гигабитные порты
до 28 
Системная производительность
Стандарты:
IEEE802.3i, IEEE802.3u, IEEE802.3ab, IEEE802.3ac, IEEE802.3ad, IEEE802.3z, IEEE802.3x, IEEE802.1p, IEEE802.1Q, IEEE802.1s, IEEE802.1X, IEC62439-6, 
IEC 61850-8-1 GOOSE сообщения
Протоколы
DT-Ring, DT-Ring+, MSTP, DRP; IGMP Snooping, GMRP;
VLAN, GVRP, PVLAN;
Telnet, HTTP, HTTPS, SNMPv1/v2/v3, RMON, LLDP, Bootp, DHCP server/relay/client, DHCP Option 82;
SNTP, PTP, RTC;
SSH, SSL, TACACS+, RADIUS, ACL; Syslog;
ARP, Modbus TCP, QoS, LACP
PRP, HSR
Пропускная способность устройства
41.7 Mpps (SICOM3028GPT-L2GT),
9.5 Mpps (SICOM3028GPT-L2GT)
Параметры оптических портов
Длина волны
1310нм (одномод), 1550нм (одномод), 1310 (многомод)
Расстояние передачи
10~80км (одномод) , до 5 км (100M многомод) , до 2 км (1000M многомод)
Тип коннектора
SC, ST, FC
Питание
Напряжение питания
Резервированное: 220Вольт переменного напряжения/Вольт постоянного напряжения (77-300VDC/85-264VAC)
Потребляемая мощность
До 42 Вт
Механические характеристики
Размеры
482.6мм x 44мм x 360мм
Крепление
19” стойка
Класс защиты
IP40
Рабочая температура
от -40 до +85С
Температура хранения
-40 до +85C
Влажность
от 5 до 95% (без конденсата)
MTBF
359000 часов
Гарантия
5 лет
</v>
      </c>
    </row>
    <row r="177" spans="1:34" ht="150" hidden="1" x14ac:dyDescent="0.25">
      <c r="A177" s="2"/>
      <c r="C177" s="5" t="s">
        <v>308</v>
      </c>
      <c r="D177" s="5" t="str">
        <f>VLOOKUP(C177,Лист1!$B$2:$T$292,14,0)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консольным кабелем.</v>
      </c>
      <c r="F177" s="19">
        <v>0</v>
      </c>
      <c r="G177" s="19">
        <f t="shared" ref="G177" si="26">F177*E177</f>
        <v>0</v>
      </c>
      <c r="H177" t="str">
        <f>VLOOKUP(C177,Лист1!$B$1:$N$198,4,0)</f>
        <v xml:space="preserve">SICOM3024P-4GX8M16T-SC05-HV-HV-S - промышленные коммутаторы 2 уровня, монтируемые в 19" стойку. Устройства имеют 4 гигабитных порта и 24 порта 100 Мбит/с, которые могут быть как медными так и оптическими.
Коммутаторы крепятся в 19-дюймовую стойку (занимают 1U). Устройства соответствуют IEC61850-3, IEEE1613, EN50155, EN50121-4, NEMA TS-2 для использования в энергетике и на транспорте. Диапазон рабочих температур коммутаторов SICOM3024P-2M26T-SC05-HV-HV-S от -40° до +85°. 
Протоколы 
DT-Ring, DT-Ring+, MSTP
IGMP Snooping, GMRP; 
VLAN, PVLAN; 
Telnet, HTTP, HTTPS, SNMPv1/v2/v3, RMON, LLDP, DHCP server; 
SNTP, RTC;
DT-Psec, SSH, SSL, ACL;
FTP, Syslog;
ARP, QoS 
Пропускная способность устройства 
9.5 Mpps 
Питание
Напряжение питания 
 От 85 до264Вольт переменного тока или от 77 до 300Вольт постоянного тока 
Потребляемая мощность 
менее 30 Вт 
Механические характеристики
Размеры
482.6×44×322.5 мм 
Крепление 
19” стойка 
Класс защиты 
IP40 
Рабочая температура 
от -40 до +85С 
Температура хранения 
-40 до +85C 
Влажность 
от 5 до 95% (без конденсата) 
MTBF 
346889 часов 
Гарантия 
5 лет 
</v>
      </c>
      <c r="J177" t="s">
        <v>18</v>
      </c>
      <c r="K177">
        <v>156</v>
      </c>
      <c r="L177" t="s">
        <v>10</v>
      </c>
      <c r="M177" t="s">
        <v>19</v>
      </c>
      <c r="N177" t="s">
        <v>13</v>
      </c>
      <c r="O177" t="s">
        <v>82</v>
      </c>
      <c r="P177">
        <v>10052</v>
      </c>
      <c r="Q177" t="str">
        <f>VLOOKUP(C177,Лист1!$B$1:$N$142,5,0)</f>
        <v>RU0000053826</v>
      </c>
      <c r="R177" s="4">
        <f>VLOOKUP(C177,Лист1!$B$1:$N$142,6,0)</f>
        <v>44431</v>
      </c>
      <c r="S177" s="4">
        <f>VLOOKUP(C177,Лист1!$B$1:$N$142,7,0)</f>
        <v>44431</v>
      </c>
      <c r="T177" s="4">
        <f>VLOOKUP(C177,Лист1!$B$1:$N$142,8,0)</f>
        <v>48213</v>
      </c>
      <c r="U177" s="10">
        <f>VLOOKUP(C177,Лист1!$B$1:$N$142,9,0)</f>
        <v>4</v>
      </c>
      <c r="V177" s="10">
        <f t="shared" ref="V177" si="27">U177*E177</f>
        <v>0</v>
      </c>
      <c r="W177"/>
      <c r="X177" s="1">
        <f t="shared" ref="X177" si="28">W177+W177*0.125</f>
        <v>0</v>
      </c>
      <c r="Y177" s="1" t="s">
        <v>78</v>
      </c>
      <c r="Z177" s="3" t="s">
        <v>182</v>
      </c>
      <c r="AA177" s="2" t="str">
        <f>VLOOKUP(C177,Лист1!$B$1:$N$92,10,0)</f>
        <v>ЕАЭС N RU Д-CN.КА01.В.17403/19</v>
      </c>
      <c r="AB177" s="2">
        <f>VLOOKUP(C177,Лист1!$B$1:$N$92,11,0)</f>
        <v>43787</v>
      </c>
      <c r="AC177" s="2">
        <f>VLOOKUP(C177,Лист1!$B$1:$N$92,12,0)</f>
        <v>43787</v>
      </c>
      <c r="AD177" s="2">
        <f>VLOOKUP(C177,Лист1!$B$1:$N$92,13,0)</f>
        <v>45613</v>
      </c>
      <c r="AE177" t="s">
        <v>10</v>
      </c>
      <c r="AG177" t="s">
        <v>224</v>
      </c>
    </row>
    <row r="178" spans="1:34" ht="46.5" hidden="1" customHeight="1" x14ac:dyDescent="0.25">
      <c r="A178" s="2" t="s">
        <v>313</v>
      </c>
      <c r="B178">
        <f>VLOOKUP(C178,Лист1!$B$1:$N$98,2,0)</f>
        <v>8517620003</v>
      </c>
      <c r="C178" s="5" t="s">
        <v>308</v>
      </c>
      <c r="D178" s="5" t="str">
        <f>VLOOKUP(C178,Лист1!$B$2:$T$292,14,0)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консольным кабелем.</v>
      </c>
      <c r="E178">
        <v>2</v>
      </c>
      <c r="F178" s="19">
        <v>1233</v>
      </c>
      <c r="G178" s="19">
        <f t="shared" ref="G178:G241" si="29">F178*E178</f>
        <v>2466</v>
      </c>
      <c r="H178" t="str">
        <f>VLOOKUP(C178,Лист1!$B$1:$N$198,4,0)</f>
        <v xml:space="preserve">SICOM3024P-4GX8M16T-SC05-HV-HV-S - промышленные коммутаторы 2 уровня, монтируемые в 19" стойку. Устройства имеют 4 гигабитных порта и 24 порта 100 Мбит/с, которые могут быть как медными так и оптическими.
Коммутаторы крепятся в 19-дюймовую стойку (занимают 1U). Устройства соответствуют IEC61850-3, IEEE1613, EN50155, EN50121-4, NEMA TS-2 для использования в энергетике и на транспорте. Диапазон рабочих температур коммутаторов SICOM3024P-2M26T-SC05-HV-HV-S от -40° до +85°. 
Протоколы 
DT-Ring, DT-Ring+, MSTP
IGMP Snooping, GMRP; 
VLAN, PVLAN; 
Telnet, HTTP, HTTPS, SNMPv1/v2/v3, RMON, LLDP, DHCP server; 
SNTP, RTC;
DT-Psec, SSH, SSL, ACL;
FTP, Syslog;
ARP, QoS 
Пропускная способность устройства 
9.5 Mpps 
Питание
Напряжение питания 
 От 85 до264Вольт переменного тока или от 77 до 300Вольт постоянного тока 
Потребляемая мощность 
менее 30 Вт 
Механические характеристики
Размеры
482.6×44×322.5 мм 
Крепление 
19” стойка 
Класс защиты 
IP40 
Рабочая температура 
от -40 до +85С 
Температура хранения 
-40 до +85C 
Влажность 
от 5 до 95% (без конденсата) 
MTBF 
346889 часов 
Гарантия 
5 лет 
</v>
      </c>
      <c r="J178" t="s">
        <v>18</v>
      </c>
      <c r="K178">
        <v>156</v>
      </c>
      <c r="L178" t="s">
        <v>10</v>
      </c>
      <c r="M178" t="s">
        <v>19</v>
      </c>
      <c r="N178" t="s">
        <v>13</v>
      </c>
      <c r="O178" t="s">
        <v>82</v>
      </c>
      <c r="P178">
        <v>10052</v>
      </c>
      <c r="Q178" t="str">
        <f>VLOOKUP(C178,Лист1!$B$1:$N$142,5,0)</f>
        <v>RU0000053826</v>
      </c>
      <c r="R178" s="4">
        <f>VLOOKUP(C178,Лист1!$B$1:$N$142,6,0)</f>
        <v>44431</v>
      </c>
      <c r="S178" s="4">
        <f>VLOOKUP(C178,Лист1!$B$1:$N$142,7,0)</f>
        <v>44431</v>
      </c>
      <c r="T178" s="4">
        <f>VLOOKUP(C178,Лист1!$B$1:$N$142,8,0)</f>
        <v>48213</v>
      </c>
      <c r="U178" s="10">
        <f>VLOOKUP(C178,Лист1!$B$1:$N$142,9,0)</f>
        <v>4</v>
      </c>
      <c r="V178" s="10">
        <v>8.5</v>
      </c>
      <c r="W178" s="26">
        <v>8.5</v>
      </c>
      <c r="X178" s="1">
        <f t="shared" ref="X178:X184" si="30">W178+W178*0.12</f>
        <v>9.52</v>
      </c>
      <c r="Y178" s="1" t="s">
        <v>78</v>
      </c>
      <c r="Z178" s="3" t="s">
        <v>182</v>
      </c>
      <c r="AA178" s="2" t="str">
        <f>VLOOKUP(C178,Лист1!$B$1:$N$92,10,0)</f>
        <v>ЕАЭС N RU Д-CN.КА01.В.17403/19</v>
      </c>
      <c r="AB178" s="2">
        <f>VLOOKUP(C178,Лист1!$B$1:$N$92,11,0)</f>
        <v>43787</v>
      </c>
      <c r="AC178" s="2">
        <f>VLOOKUP(C178,Лист1!$B$1:$N$92,12,0)</f>
        <v>43787</v>
      </c>
      <c r="AD178" s="2">
        <f>VLOOKUP(C178,Лист1!$B$1:$N$92,13,0)</f>
        <v>45613</v>
      </c>
      <c r="AE178" t="s">
        <v>10</v>
      </c>
      <c r="AG178" t="s">
        <v>224</v>
      </c>
      <c r="AH178" t="str">
        <f>VLOOKUP(C178,Лист1!$B$3:$P$289,15,0)</f>
        <v xml:space="preserve">SICOM3024P-4GX8M16T-SC05-HV-HV-S - промышленные коммутаторы 2 уровня, монтируемые в 19" стойку. Устройства имеют 4 гигабитных порта и 24 порта 100 Мбит/с, которые могут быть как медными так и оптическими.
Коммутаторы крепятся в 19-дюймовую стойку (занимают 1U). Устройства соответствуют IEC61850-3, IEEE1613, EN50155, EN50121-4, NEMA TS-2 для использования в энергетике и на транспорте. Диапазон рабочих температур коммутаторов SICOM3024P-2M26T-SC05-HV-HV-S от -40° до +85°. 
Характеристики
Порты
Медные порты 100 Мбит/с 
16
Оптические порты 100 Мбит/с 
8
Порты SFP+ 10G
4
Системная производительность
Стандарты: 
IEEE 802.3i, IEEE 802.3u, IEEE 802.3ab, IEEE 802.3z, IEEE 802.3x, IEEE 802.1p, IEEE 802.1Q, IEEE 802.1s 
Протоколы 
DT-Ring, DT-Ring+, MSTP
IGMP Snooping, GMRP; 
VLAN, PVLAN; 
Telnet, HTTP, HTTPS, SNMPv1/v2/v3, RMON, LLDP, DHCP server; 
SNTP, RTC;
DT-Psec, SSH, SSL, ACL;
ARP, QoS 
Пропускная способность устройства 
9.5 Mpps 
Питание
Напряжение питания 
 От 85 до264Вольт переменного тока или от 77 до 300Вольт постоянного тока 
Потребляемая мощность 
менее 30 Вт 
Механические характеристики
Размеры
482.6×44×322.5 мм 
Крепление 
19” стойка 
Класс защиты 
IP40 
Рабочая температура 
от -40 до +85С 
Температура хранения 
-40 до +85C 
Влажность 
от 5 до 95% (без конденсата) 
MTBF 
346889 часов 
Гарантия 
5 лет 
</v>
      </c>
    </row>
    <row r="179" spans="1:34" ht="31.5" customHeight="1" x14ac:dyDescent="0.25">
      <c r="A179" s="2">
        <v>44932</v>
      </c>
      <c r="B179">
        <f>VLOOKUP(C179,Лист1!$B$1:$N$98,2,0)</f>
        <v>8517620003</v>
      </c>
      <c r="C179" s="27" t="s">
        <v>303</v>
      </c>
      <c r="D179" s="5" t="str">
        <f>VLOOKUP(C179,Лист1!$B$2:$T$292,14,0)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консольным кабелем.</v>
      </c>
      <c r="E179">
        <v>4</v>
      </c>
      <c r="F179" s="19">
        <v>1086</v>
      </c>
      <c r="G179" s="19">
        <f t="shared" si="29"/>
        <v>4344</v>
      </c>
      <c r="H179" t="str">
        <f>VLOOKUP(C179,Лист1!$B$1:$N$198,4,0)</f>
        <v xml:space="preserve">SICOM3024P-4GX4M20T-SC05-HV-HV-S - промышленные коммутаторы 2 уровня, монтируемые в 19" стойку. Устройства имеют 4 гигабитных порта и 24 порта 100 Мбит/с, которые могут быть как медными так и оптическими.
Коммутаторы крепятся в 19-дюймовую стойку (занимают 1U). Устройства соответствуют IEC61850-3, IEEE1613, EN50155, EN50121-4, NEMA TS-2 для использования в энергетике и на транспорте. Диапазон рабочих температур коммутаторов SICOM3024P-2M26T-SC05-HV-HV-S от -40° до +85°. 
Протоколы 
DT-Ring, DT-Ring+, MSTP
IGMP Snooping, GMRP; 
VLAN, PVLAN; 
Telnet, HTTP, HTTPS, SNMPv1/v2/v3, RMON, LLDP, DHCP server; 
SNTP, RTC;
DT-Psec, SSH, SSL, ACL;
ARP, QoS 
Пропускная способность устройства 
9.5 Mpps 
Питание
Напряжение питания 
 От 85 до264Вольт переменного тока или от 77 до 300Вольт постоянного тока 
Потребляемая мощность 
менее 30 Вт 
Механические характеристики
Размеры
482.6×44×322.5 мм 
Крепление 
19” стойка 
Класс защиты 
IP40 
Рабочая температура 
от -40 до +85С 
Температура хранения 
-40 до +85C 
Влажность 
от 5 до 95% (без конденсата) 
MTBF 
346889 часов 
Гарантия 
5 лет </v>
      </c>
      <c r="J179" t="s">
        <v>18</v>
      </c>
      <c r="K179">
        <v>156</v>
      </c>
      <c r="L179" t="s">
        <v>10</v>
      </c>
      <c r="M179" t="s">
        <v>19</v>
      </c>
      <c r="N179" t="s">
        <v>13</v>
      </c>
      <c r="O179" t="s">
        <v>82</v>
      </c>
      <c r="P179">
        <v>10052</v>
      </c>
      <c r="Q179" t="str">
        <f>VLOOKUP(C179,Лист1!$B$1:$N$142,5,0)</f>
        <v>RU0000053826</v>
      </c>
      <c r="R179" s="4">
        <f>VLOOKUP(C179,Лист1!$B$1:$N$142,6,0)</f>
        <v>44431</v>
      </c>
      <c r="S179" s="4">
        <f>VLOOKUP(C179,Лист1!$B$1:$N$142,7,0)</f>
        <v>44431</v>
      </c>
      <c r="T179" s="4">
        <f>VLOOKUP(C179,Лист1!$B$1:$N$142,8,0)</f>
        <v>48213</v>
      </c>
      <c r="U179" s="10">
        <f>VLOOKUP(C179,Лист1!$B$1:$N$142,9,0)</f>
        <v>4</v>
      </c>
      <c r="V179" s="10">
        <f t="shared" si="25"/>
        <v>16</v>
      </c>
      <c r="W179" s="26">
        <f t="shared" ref="W178:W184" si="31">V179+V179*0.01</f>
        <v>16.16</v>
      </c>
      <c r="X179" s="1">
        <f t="shared" si="30"/>
        <v>18.0992</v>
      </c>
      <c r="Y179" s="1" t="s">
        <v>78</v>
      </c>
      <c r="Z179" s="3" t="s">
        <v>182</v>
      </c>
      <c r="AA179" s="2" t="str">
        <f>VLOOKUP(C179,Лист1!$B$1:$N$92,10,0)</f>
        <v>ЕАЭС N RU Д-CN.КА01.В.17403/19</v>
      </c>
      <c r="AB179" s="2">
        <f>VLOOKUP(C179,Лист1!$B$1:$N$92,11,0)</f>
        <v>43787</v>
      </c>
      <c r="AC179" s="2">
        <f>VLOOKUP(C179,Лист1!$B$1:$N$92,12,0)</f>
        <v>43787</v>
      </c>
      <c r="AD179" s="2">
        <f>VLOOKUP(C179,Лист1!$B$1:$N$92,13,0)</f>
        <v>45613</v>
      </c>
      <c r="AE179" t="s">
        <v>10</v>
      </c>
      <c r="AG179" t="s">
        <v>224</v>
      </c>
      <c r="AH179" t="str">
        <f>VLOOKUP(C179,Лист1!$B$3:$P$289,15,0)</f>
        <v xml:space="preserve">SICOM3024P-4GX4M20T-SC05-HV-HV-S - промышленные коммутаторы 2 уровня, монтируемые в 19" стойку. Устройства имеют 4 гигабитных порта и 24 порта 100 Мбит/с, которые могут быть как медными так и оптическими.
Коммутаторы крепятся в 19-дюймовую стойку (занимают 1U). Устройства соответствуют IEC61850-3, IEEE1613, EN50155, EN50121-4, NEMA TS-2 для использования в энергетике и на транспорте. Диапазон рабочих температур коммутаторов SICOM3024P-2M26T-SC05-HV-HV-S от -40° до +85°. 
Характеристики
Порты
Медные порты 100 Мбит/с 
20
Оптические порты 100 Мбит/с 
4
Порты SFP+ 10G
4
Системная производительность
Стандарты: 
IEEE 802.3i, IEEE 802.3u, IEEE 802.3ab, IEEE 802.3z, IEEE 802.3x, IEEE 802.1p, IEEE 802.1Q, IEEE 802.1s 
Протоколы 
DT-Ring, DT-Ring+, MSTP
IGMP Snooping, GMRP; 
VLAN, PVLAN; 
Telnet, HTTP, HTTPS, SNMPv1/v2/v3, RMON, LLDP, DHCP server; 
SNTP, RTC;
DT-Psec, SSH, SSL, ACL;
ARP, QoS 
Пропускная способность устройства 
9.5 Mpps 
Питание
Напряжение питания 
 От 85 до264Вольт переменного тока или от 77 до 300Вольт постоянного тока 
Потребляемая мощность 
менее 30 Вт 
Механические характеристики
Размеры
482.6×44×322.5 мм 
Крепление 
19” стойка 
Класс защиты 
IP40 
Рабочая температура 
от -40 до +85С 
Температура хранения 
-40 до +85C 
Влажность 
от 5 до 95% (без конденсата) 
MTBF 
346889 часов 
Гарантия 
5 лет </v>
      </c>
    </row>
    <row r="180" spans="1:34" ht="27.75" customHeight="1" x14ac:dyDescent="0.25">
      <c r="A180" s="2">
        <v>44932</v>
      </c>
      <c r="B180">
        <f>VLOOKUP(C180,Лист1!$B$1:$N$98,2,0)</f>
        <v>8517620002</v>
      </c>
      <c r="C180" s="31" t="s">
        <v>114</v>
      </c>
      <c r="D180" s="5" t="str">
        <f>VLOOKUP(C180,Лист1!$B$2:$T$292,14,0)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180">
        <v>2</v>
      </c>
      <c r="F180" s="19">
        <v>2449.9</v>
      </c>
      <c r="G180" s="19">
        <f t="shared" ref="G180" si="32">F180*E180</f>
        <v>4899.8</v>
      </c>
      <c r="H180" t="str">
        <f>VLOOKUP(C180,Лист1!$B$1:$N$198,4,0)</f>
        <v xml:space="preserve">SICOM3028GPT-L2GT-MB-HV-HV-S - промышленные коммутаторы с широким спектром сфер применния и модульным дизайном для простоты масштабирования и расширения функционала устройства. Модели SICOM3028GPT-L2GT могут иметь до 28 гигабитных портов, а модели SICOM3028GPT-L2GT-MB-HV-HV-S до 24 портов 100 Мбит/с и до 4 гигабитных портов.. Устройства оборудованы PTP-картой для поддержки синхронизации времени (IEEE1588v2) на всех 28 портах устройства.
Коммутаторы крепятся в 19-дюймовую стойку (занимают 1U), крепятся передней или задней панелью. Устройства соответствуют IEC61850-3 и IEEE1613 для электроподстанций, имеют консольный Mini USB порт, соответствуют IEC62439-6, поддерживаюют VCT (Virtual Cable Test). Диапазон рабочих температур коммутаторов SICOM3028GPT-L2GT от -40° до +85°.
Протоколы
DT-Ring, DT-Ring+, MSTP, DRP; IGMP Snooping, GMRP;
VLAN, GVRP, PVLAN;
Telnet, HTTP, HTTPS, SNMPv1/v2/v3, RMON, LLDP, Bootp, DHCP server/relay/client, DHCP Option 82;
SNTP, PTP, RTC;
SSH, SSL, TACACS+, RADIUS, ACL; Syslog;
ARP, Modbus TCP, QoS, LACP
PRP, HSR
Длина волны
1310нм (одномод), 1550нм (одномод), 1310 (многомод)
Расстояние передачи
10~80км (одномод) , до 5 км (100M многомод) , до 2 км (1000M многомод)
Тип коннектора
Питание
Напряжение питания
Резервированное: 220Вольт переменного напряжения/Вольт постоянного напряжения (77-300VDC/85-264VAC)
Потребляемая мощность
До 42 Вт
Механические характеристики
Размеры
482.6мм x 44мм x 360мм
Крепление
19” стойка
Класс защиты
IP40
Рабочая температура
от -40 до +85С
Температура хранения
-40 до +85C
Влажность
от 5 до 95% (без конденсата)
MTBF
359000 часов
Гарантия
5 лет
</v>
      </c>
      <c r="J180" t="s">
        <v>18</v>
      </c>
      <c r="K180">
        <v>156</v>
      </c>
      <c r="L180" t="s">
        <v>10</v>
      </c>
      <c r="M180" t="s">
        <v>19</v>
      </c>
      <c r="N180" t="s">
        <v>13</v>
      </c>
      <c r="O180" t="s">
        <v>82</v>
      </c>
      <c r="P180">
        <v>10052</v>
      </c>
      <c r="Q180" t="str">
        <f>VLOOKUP(C180,Лист1!$B$1:$N$142,5,0)</f>
        <v>RU0000053245</v>
      </c>
      <c r="R180" s="4">
        <f>VLOOKUP(C180,Лист1!$B$1:$N$142,6,0)</f>
        <v>44383</v>
      </c>
      <c r="S180" s="4">
        <f>VLOOKUP(C180,Лист1!$B$1:$N$142,7,0)</f>
        <v>44383</v>
      </c>
      <c r="T180" s="4">
        <f>VLOOKUP(C180,Лист1!$B$1:$N$142,8,0)</f>
        <v>48213</v>
      </c>
      <c r="U180" s="10">
        <f>VLOOKUP(C180,Лист1!$B$1:$N$142,9,0)</f>
        <v>10</v>
      </c>
      <c r="V180" s="10">
        <f t="shared" ref="V180" si="33">U180*E180</f>
        <v>20</v>
      </c>
      <c r="W180" s="26">
        <v>20.399999999999999</v>
      </c>
      <c r="X180" s="1">
        <f t="shared" si="30"/>
        <v>22.847999999999999</v>
      </c>
      <c r="Y180" s="1" t="s">
        <v>78</v>
      </c>
      <c r="Z180" s="3" t="s">
        <v>182</v>
      </c>
      <c r="AA180" s="2" t="str">
        <f>VLOOKUP(C180,Лист1!$B$1:$N$92,10,0)</f>
        <v>ЕАЭС N RU Д-CN.КА01.В.23216/20</v>
      </c>
      <c r="AB180" s="2">
        <f>VLOOKUP(C180,Лист1!$B$1:$N$92,11,0)</f>
        <v>43908</v>
      </c>
      <c r="AC180" s="2">
        <f>VLOOKUP(C180,Лист1!$B$1:$N$92,12,0)</f>
        <v>43908</v>
      </c>
      <c r="AD180" s="2">
        <f>VLOOKUP(C180,Лист1!$B$1:$N$92,13,0)</f>
        <v>45733</v>
      </c>
      <c r="AE180" t="s">
        <v>10</v>
      </c>
      <c r="AG180" t="s">
        <v>224</v>
      </c>
      <c r="AH180" t="str">
        <f>VLOOKUP(C180,Лист1!$B$3:$P$289,15,0)</f>
        <v xml:space="preserve">SICOM3028GPT-L2GT-MB-HV-HV-S - промышленные коммутаторы с широким спектром сфер применния и модульным дизайном для простоты масштабирования и расширения функционала устройства. Модели SICOM3028GPT-L2GT могут иметь до 28 гигабитных портов, а модели SICOM3028GPT-L2GT-MB-HV-HV-S до 24 портов 100 Мбит/с и до 4 гигабитных портов.. Устройства оборудованы PTP-картой для поддержки синхронизации времени (IEEE1588v2) на всех 28 портах устройства.
Коммутаторы крепятся в 19-дюймовую стойку (занимают 1U), крепятся передней или задней панелью. Устройства соответствуют IEC61850-3 и IEEE1613 для электроподстанций, имеют консольный Mini USB порт, соответствуют IEC62439-6, поддерживаюют VCT (Virtual Cable Test). Диапазон рабочих температур коммутаторов SICOM3028GPT-L2GT от -40° до +85°.
Характеристики
Порты
Медные или оптические порты 100 Мбит/с
до 24
Медные или оптические гигабитные порты
до 28 
Системная производительность
Стандарты:
IEEE802.3i, IEEE802.3u, IEEE802.3ab, IEEE802.3ac, IEEE802.3ad, IEEE802.3z, IEEE802.3x, IEEE802.1p, IEEE802.1Q, IEEE802.1s, IEEE802.1X, IEC62439-6, 
IEC 61850-8-1 GOOSE сообщения
Протоколы
DT-Ring, DT-Ring+, MSTP, DRP; IGMP Snooping, GMRP;
VLAN, GVRP, PVLAN;
Telnet, HTTP, HTTPS, SNMPv1/v2/v3, RMON, LLDP, Bootp, DHCP server/relay/client, DHCP Option 82;
SNTP, PTP, RTC;
SSH, SSL, TACACS+, RADIUS, ACL; Syslog;
ARP, Modbus TCP, QoS, LACP
PRP, HSR
Пропускная способность устройства
41.7 Mpps (SICOM3028GPT-L2GT),
9.5 Mpps (SICOM3028GPT-L2GT)
Параметры оптических портов
Длина волны
1310нм (одномод), 1550нм (одномод), 1310 (многомод)
Расстояние передачи
10~80км (одномод) , до 5 км (100M многомод) , до 2 км (1000M многомод)
Тип коннектора
SC, ST, FC
Питание
Напряжение питания
Резервированное: 220Вольт переменного напряжения/Вольт постоянного напряжения (77-300VDC/85-264VAC)
Потребляемая мощность
До 42 Вт
Механические характеристики
Размеры
482.6мм x 44мм x 360мм
Крепление
19” стойка
Класс защиты
IP40
Рабочая температура
от -40 до +85С
Температура хранения
-40 до +85C
Влажность
от 5 до 95% (без конденсата)
MTBF
359000 часов
Гарантия
5 лет
</v>
      </c>
    </row>
    <row r="181" spans="1:34" ht="42.75" customHeight="1" x14ac:dyDescent="0.25">
      <c r="A181" s="2">
        <v>44932</v>
      </c>
      <c r="B181">
        <f>VLOOKUP(C181,Лист1!$B$1:$N$98,2,0)</f>
        <v>8517620002</v>
      </c>
      <c r="C181" s="31" t="s">
        <v>114</v>
      </c>
      <c r="D181" s="5" t="str">
        <f>VLOOKUP(C181,Лист1!$B$2:$T$292,14,0)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181">
        <v>2</v>
      </c>
      <c r="F181" s="19">
        <v>2027.1</v>
      </c>
      <c r="G181" s="19">
        <f t="shared" si="29"/>
        <v>4054.2</v>
      </c>
      <c r="H181" t="str">
        <f>VLOOKUP(C181,Лист1!$B$1:$N$198,4,0)</f>
        <v xml:space="preserve">SICOM3028GPT-L2GT-MB-HV-HV-S - промышленные коммутаторы с широким спектром сфер применния и модульным дизайном для простоты масштабирования и расширения функционала устройства. Модели SICOM3028GPT-L2GT могут иметь до 28 гигабитных портов, а модели SICOM3028GPT-L2GT-MB-HV-HV-S до 24 портов 100 Мбит/с и до 4 гигабитных портов.. Устройства оборудованы PTP-картой для поддержки синхронизации времени (IEEE1588v2) на всех 28 портах устройства.
Коммутаторы крепятся в 19-дюймовую стойку (занимают 1U), крепятся передней или задней панелью. Устройства соответствуют IEC61850-3 и IEEE1613 для электроподстанций, имеют консольный Mini USB порт, соответствуют IEC62439-6, поддерживаюют VCT (Virtual Cable Test). Диапазон рабочих температур коммутаторов SICOM3028GPT-L2GT от -40° до +85°.
Протоколы
DT-Ring, DT-Ring+, MSTP, DRP; IGMP Snooping, GMRP;
VLAN, GVRP, PVLAN;
Telnet, HTTP, HTTPS, SNMPv1/v2/v3, RMON, LLDP, Bootp, DHCP server/relay/client, DHCP Option 82;
SNTP, PTP, RTC;
SSH, SSL, TACACS+, RADIUS, ACL; Syslog;
ARP, Modbus TCP, QoS, LACP
PRP, HSR
Длина волны
1310нм (одномод), 1550нм (одномод), 1310 (многомод)
Расстояние передачи
10~80км (одномод) , до 5 км (100M многомод) , до 2 км (1000M многомод)
Тип коннектора
Питание
Напряжение питания
Резервированное: 220Вольт переменного напряжения/Вольт постоянного напряжения (77-300VDC/85-264VAC)
Потребляемая мощность
До 42 Вт
Механические характеристики
Размеры
482.6мм x 44мм x 360мм
Крепление
19” стойка
Класс защиты
IP40
Рабочая температура
от -40 до +85С
Температура хранения
-40 до +85C
Влажность
от 5 до 95% (без конденсата)
MTBF
359000 часов
Гарантия
5 лет
</v>
      </c>
      <c r="J181" t="s">
        <v>18</v>
      </c>
      <c r="K181">
        <v>156</v>
      </c>
      <c r="L181" t="s">
        <v>10</v>
      </c>
      <c r="M181" t="s">
        <v>19</v>
      </c>
      <c r="N181" t="s">
        <v>13</v>
      </c>
      <c r="O181" t="s">
        <v>82</v>
      </c>
      <c r="P181">
        <v>10052</v>
      </c>
      <c r="Q181" t="str">
        <f>VLOOKUP(C181,Лист1!$B$1:$N$142,5,0)</f>
        <v>RU0000053245</v>
      </c>
      <c r="R181" s="4">
        <f>VLOOKUP(C181,Лист1!$B$1:$N$142,6,0)</f>
        <v>44383</v>
      </c>
      <c r="S181" s="4">
        <f>VLOOKUP(C181,Лист1!$B$1:$N$142,7,0)</f>
        <v>44383</v>
      </c>
      <c r="T181" s="4">
        <f>VLOOKUP(C181,Лист1!$B$1:$N$142,8,0)</f>
        <v>48213</v>
      </c>
      <c r="U181" s="10">
        <f>VLOOKUP(C181,Лист1!$B$1:$N$142,9,0)</f>
        <v>10</v>
      </c>
      <c r="V181" s="10">
        <f t="shared" si="25"/>
        <v>20</v>
      </c>
      <c r="W181" s="26">
        <v>20.399999999999999</v>
      </c>
      <c r="X181" s="1">
        <f t="shared" si="30"/>
        <v>22.847999999999999</v>
      </c>
      <c r="Y181" s="1" t="s">
        <v>78</v>
      </c>
      <c r="Z181" s="3" t="s">
        <v>182</v>
      </c>
      <c r="AA181" s="2" t="str">
        <f>VLOOKUP(C181,Лист1!$B$1:$N$92,10,0)</f>
        <v>ЕАЭС N RU Д-CN.КА01.В.23216/20</v>
      </c>
      <c r="AB181" s="2">
        <f>VLOOKUP(C181,Лист1!$B$1:$N$92,11,0)</f>
        <v>43908</v>
      </c>
      <c r="AC181" s="2">
        <f>VLOOKUP(C181,Лист1!$B$1:$N$92,12,0)</f>
        <v>43908</v>
      </c>
      <c r="AD181" s="2">
        <f>VLOOKUP(C181,Лист1!$B$1:$N$92,13,0)</f>
        <v>45733</v>
      </c>
      <c r="AE181" t="s">
        <v>10</v>
      </c>
      <c r="AG181" t="s">
        <v>224</v>
      </c>
      <c r="AH181" t="str">
        <f>VLOOKUP(C181,Лист1!$B$3:$P$289,15,0)</f>
        <v xml:space="preserve">SICOM3028GPT-L2GT-MB-HV-HV-S - промышленные коммутаторы с широким спектром сфер применния и модульным дизайном для простоты масштабирования и расширения функционала устройства. Модели SICOM3028GPT-L2GT могут иметь до 28 гигабитных портов, а модели SICOM3028GPT-L2GT-MB-HV-HV-S до 24 портов 100 Мбит/с и до 4 гигабитных портов.. Устройства оборудованы PTP-картой для поддержки синхронизации времени (IEEE1588v2) на всех 28 портах устройства.
Коммутаторы крепятся в 19-дюймовую стойку (занимают 1U), крепятся передней или задней панелью. Устройства соответствуют IEC61850-3 и IEEE1613 для электроподстанций, имеют консольный Mini USB порт, соответствуют IEC62439-6, поддерживаюют VCT (Virtual Cable Test). Диапазон рабочих температур коммутаторов SICOM3028GPT-L2GT от -40° до +85°.
Характеристики
Порты
Медные или оптические порты 100 Мбит/с
до 24
Медные или оптические гигабитные порты
до 28 
Системная производительность
Стандарты:
IEEE802.3i, IEEE802.3u, IEEE802.3ab, IEEE802.3ac, IEEE802.3ad, IEEE802.3z, IEEE802.3x, IEEE802.1p, IEEE802.1Q, IEEE802.1s, IEEE802.1X, IEC62439-6, 
IEC 61850-8-1 GOOSE сообщения
Протоколы
DT-Ring, DT-Ring+, MSTP, DRP; IGMP Snooping, GMRP;
VLAN, GVRP, PVLAN;
Telnet, HTTP, HTTPS, SNMPv1/v2/v3, RMON, LLDP, Bootp, DHCP server/relay/client, DHCP Option 82;
SNTP, PTP, RTC;
SSH, SSL, TACACS+, RADIUS, ACL; Syslog;
ARP, Modbus TCP, QoS, LACP
PRP, HSR
Пропускная способность устройства
41.7 Mpps (SICOM3028GPT-L2GT),
9.5 Mpps (SICOM3028GPT-L2GT)
Параметры оптических портов
Длина волны
1310нм (одномод), 1550нм (одномод), 1310 (многомод)
Расстояние передачи
10~80км (одномод) , до 5 км (100M многомод) , до 2 км (1000M многомод)
Тип коннектора
SC, ST, FC
Питание
Напряжение питания
Резервированное: 220Вольт переменного напряжения/Вольт постоянного напряжения (77-300VDC/85-264VAC)
Потребляемая мощность
До 42 Вт
Механические характеристики
Размеры
482.6мм x 44мм x 360мм
Крепление
19” стойка
Класс защиты
IP40
Рабочая температура
от -40 до +85С
Температура хранения
-40 до +85C
Влажность
от 5 до 95% (без конденсата)
MTBF
359000 часов
Гарантия
5 лет
</v>
      </c>
    </row>
    <row r="182" spans="1:34" ht="42" customHeight="1" x14ac:dyDescent="0.25">
      <c r="A182" s="2">
        <v>44932</v>
      </c>
      <c r="B182">
        <f>VLOOKUP(C182,Лист1!$B$1:$N$98,2,0)</f>
        <v>8517620002</v>
      </c>
      <c r="C182" s="31" t="s">
        <v>114</v>
      </c>
      <c r="D182" s="5" t="str">
        <f>VLOOKUP(C182,Лист1!$B$2:$T$292,14,0)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182">
        <v>1</v>
      </c>
      <c r="F182" s="19">
        <v>2054.6999999999998</v>
      </c>
      <c r="G182" s="19">
        <f t="shared" si="29"/>
        <v>2054.6999999999998</v>
      </c>
      <c r="H182" t="str">
        <f>VLOOKUP(C182,Лист1!$B$1:$N$198,4,0)</f>
        <v xml:space="preserve">SICOM3028GPT-L2GT-MB-HV-HV-S - промышленные коммутаторы с широким спектром сфер применния и модульным дизайном для простоты масштабирования и расширения функционала устройства. Модели SICOM3028GPT-L2GT могут иметь до 28 гигабитных портов, а модели SICOM3028GPT-L2GT-MB-HV-HV-S до 24 портов 100 Мбит/с и до 4 гигабитных портов.. Устройства оборудованы PTP-картой для поддержки синхронизации времени (IEEE1588v2) на всех 28 портах устройства.
Коммутаторы крепятся в 19-дюймовую стойку (занимают 1U), крепятся передней или задней панелью. Устройства соответствуют IEC61850-3 и IEEE1613 для электроподстанций, имеют консольный Mini USB порт, соответствуют IEC62439-6, поддерживаюют VCT (Virtual Cable Test). Диапазон рабочих температур коммутаторов SICOM3028GPT-L2GT от -40° до +85°.
Протоколы
DT-Ring, DT-Ring+, MSTP, DRP; IGMP Snooping, GMRP;
VLAN, GVRP, PVLAN;
Telnet, HTTP, HTTPS, SNMPv1/v2/v3, RMON, LLDP, Bootp, DHCP server/relay/client, DHCP Option 82;
SNTP, PTP, RTC;
SSH, SSL, TACACS+, RADIUS, ACL; Syslog;
ARP, Modbus TCP, QoS, LACP
PRP, HSR
Длина волны
1310нм (одномод), 1550нм (одномод), 1310 (многомод)
Расстояние передачи
10~80км (одномод) , до 5 км (100M многомод) , до 2 км (1000M многомод)
Тип коннектора
Питание
Напряжение питания
Резервированное: 220Вольт переменного напряжения/Вольт постоянного напряжения (77-300VDC/85-264VAC)
Потребляемая мощность
До 42 Вт
Механические характеристики
Размеры
482.6мм x 44мм x 360мм
Крепление
19” стойка
Класс защиты
IP40
Рабочая температура
от -40 до +85С
Температура хранения
-40 до +85C
Влажность
от 5 до 95% (без конденсата)
MTBF
359000 часов
Гарантия
5 лет
</v>
      </c>
      <c r="J182" t="s">
        <v>18</v>
      </c>
      <c r="K182">
        <v>156</v>
      </c>
      <c r="L182" t="s">
        <v>10</v>
      </c>
      <c r="M182" t="s">
        <v>19</v>
      </c>
      <c r="N182" t="s">
        <v>13</v>
      </c>
      <c r="O182" t="s">
        <v>82</v>
      </c>
      <c r="P182">
        <v>10052</v>
      </c>
      <c r="Q182" t="str">
        <f>VLOOKUP(C182,Лист1!$B$1:$N$142,5,0)</f>
        <v>RU0000053245</v>
      </c>
      <c r="R182" s="4">
        <f>VLOOKUP(C182,Лист1!$B$1:$N$142,6,0)</f>
        <v>44383</v>
      </c>
      <c r="S182" s="4">
        <f>VLOOKUP(C182,Лист1!$B$1:$N$142,7,0)</f>
        <v>44383</v>
      </c>
      <c r="T182" s="4">
        <f>VLOOKUP(C182,Лист1!$B$1:$N$142,8,0)</f>
        <v>48213</v>
      </c>
      <c r="U182" s="10">
        <f>VLOOKUP(C182,Лист1!$B$1:$N$142,9,0)</f>
        <v>10</v>
      </c>
      <c r="V182" s="10">
        <f t="shared" si="25"/>
        <v>10</v>
      </c>
      <c r="W182" s="26">
        <v>10.199999999999999</v>
      </c>
      <c r="X182" s="1">
        <f t="shared" si="30"/>
        <v>11.423999999999999</v>
      </c>
      <c r="Y182" s="1" t="s">
        <v>78</v>
      </c>
      <c r="Z182" s="3" t="s">
        <v>182</v>
      </c>
      <c r="AA182" s="2" t="str">
        <f>VLOOKUP(C182,Лист1!$B$1:$N$92,10,0)</f>
        <v>ЕАЭС N RU Д-CN.КА01.В.23216/20</v>
      </c>
      <c r="AB182" s="2">
        <f>VLOOKUP(C182,Лист1!$B$1:$N$92,11,0)</f>
        <v>43908</v>
      </c>
      <c r="AC182" s="2">
        <f>VLOOKUP(C182,Лист1!$B$1:$N$92,12,0)</f>
        <v>43908</v>
      </c>
      <c r="AD182" s="2">
        <f>VLOOKUP(C182,Лист1!$B$1:$N$92,13,0)</f>
        <v>45733</v>
      </c>
      <c r="AE182" t="s">
        <v>10</v>
      </c>
      <c r="AG182" t="s">
        <v>224</v>
      </c>
      <c r="AH182" t="str">
        <f>VLOOKUP(C182,Лист1!$B$3:$P$289,15,0)</f>
        <v xml:space="preserve">SICOM3028GPT-L2GT-MB-HV-HV-S - промышленные коммутаторы с широким спектром сфер применния и модульным дизайном для простоты масштабирования и расширения функционала устройства. Модели SICOM3028GPT-L2GT могут иметь до 28 гигабитных портов, а модели SICOM3028GPT-L2GT-MB-HV-HV-S до 24 портов 100 Мбит/с и до 4 гигабитных портов.. Устройства оборудованы PTP-картой для поддержки синхронизации времени (IEEE1588v2) на всех 28 портах устройства.
Коммутаторы крепятся в 19-дюймовую стойку (занимают 1U), крепятся передней или задней панелью. Устройства соответствуют IEC61850-3 и IEEE1613 для электроподстанций, имеют консольный Mini USB порт, соответствуют IEC62439-6, поддерживаюют VCT (Virtual Cable Test). Диапазон рабочих температур коммутаторов SICOM3028GPT-L2GT от -40° до +85°.
Характеристики
Порты
Медные или оптические порты 100 Мбит/с
до 24
Медные или оптические гигабитные порты
до 28 
Системная производительность
Стандарты:
IEEE802.3i, IEEE802.3u, IEEE802.3ab, IEEE802.3ac, IEEE802.3ad, IEEE802.3z, IEEE802.3x, IEEE802.1p, IEEE802.1Q, IEEE802.1s, IEEE802.1X, IEC62439-6, 
IEC 61850-8-1 GOOSE сообщения
Протоколы
DT-Ring, DT-Ring+, MSTP, DRP; IGMP Snooping, GMRP;
VLAN, GVRP, PVLAN;
Telnet, HTTP, HTTPS, SNMPv1/v2/v3, RMON, LLDP, Bootp, DHCP server/relay/client, DHCP Option 82;
SNTP, PTP, RTC;
SSH, SSL, TACACS+, RADIUS, ACL; Syslog;
ARP, Modbus TCP, QoS, LACP
PRP, HSR
Пропускная способность устройства
41.7 Mpps (SICOM3028GPT-L2GT),
9.5 Mpps (SICOM3028GPT-L2GT)
Параметры оптических портов
Длина волны
1310нм (одномод), 1550нм (одномод), 1310 (многомод)
Расстояние передачи
10~80км (одномод) , до 5 км (100M многомод) , до 2 км (1000M многомод)
Тип коннектора
SC, ST, FC
Питание
Напряжение питания
Резервированное: 220Вольт переменного напряжения/Вольт постоянного напряжения (77-300VDC/85-264VAC)
Потребляемая мощность
До 42 Вт
Механические характеристики
Размеры
482.6мм x 44мм x 360мм
Крепление
19” стойка
Класс защиты
IP40
Рабочая температура
от -40 до +85С
Температура хранения
-40 до +85C
Влажность
от 5 до 95% (без конденсата)
MTBF
359000 часов
Гарантия
5 лет
</v>
      </c>
    </row>
    <row r="183" spans="1:34" ht="49.5" customHeight="1" x14ac:dyDescent="0.25">
      <c r="A183" s="2">
        <v>44932</v>
      </c>
      <c r="B183">
        <f>VLOOKUP(C183,Лист1!$B$1:$N$98,2,0)</f>
        <v>8517620003</v>
      </c>
      <c r="C183" s="5" t="s">
        <v>44</v>
      </c>
      <c r="D183" s="5" t="str">
        <f>VLOOKUP(C183,Лист1!$B$2:$T$292,14,0)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183">
        <v>7</v>
      </c>
      <c r="F183" s="19">
        <v>939</v>
      </c>
      <c r="G183" s="19">
        <f t="shared" si="29"/>
        <v>6573</v>
      </c>
      <c r="H183" t="str">
        <f>VLOOKUP(C183,Лист1!$B$1:$N$198,4,0)</f>
        <v xml:space="preserve">Описание
SICOM3024P-4GX24T-HV-HV-S - промышленные коммутаторы 2 уровня, монтируемые в 19" стойку. Устройства имеют 4 гигабитных порта и 24 порта 100 Мбит/с, которые могут быть как медными так и оптическими.
Коммутаторы крепятся в 19-дюймовую стойку (занимают 1U). Устройства соответствуют IEC61850-3, IEEE1613, EN50155, EN50121-4, NEMA TS-2 для использования в энергетике и на транспорте. Диапазон рабочих температур коммутаторов SICOM3024P-2M26T-SC05-HV-HV-S от -40° до +85°. 
Характеристики
Протоколы 
DT-Ring, DT-Ring+, MSTP
IGMP Snooping, GMRP; 
VLAN, PVLAN; 
Telnet, HTTP, HTTPS, SNMPv1/v2/v3, RMON, LLDP, DHCP server; 
SNTP, RTC;
DT-Psec, SSH, SSL, ACL;
ARP, QoS 
Пропускная способность устройства 
9.5 Mpps 
Питание
Напряжение питания 
 От 85 до264Вольт переменного тока или от 77 до 300Вольт постоянного тока 
Потребляемая мощность 
менее 30 Вт 
Механические характеристики
Размеры
482.6×44×322.5 мм 
Крепление 
19” стойка 
Класс защиты 
IP40 
Рабочая температура 
от -40 до +85С 
Температура хранения 
-40 до +85C 
Влажность 
от 5 до 95% (без конденсата) 
MTBF 
346889 часов 
Гарантия 
5 лет </v>
      </c>
      <c r="J183" t="s">
        <v>18</v>
      </c>
      <c r="K183">
        <v>156</v>
      </c>
      <c r="L183" t="s">
        <v>10</v>
      </c>
      <c r="M183" t="s">
        <v>19</v>
      </c>
      <c r="N183" t="s">
        <v>13</v>
      </c>
      <c r="O183" t="s">
        <v>82</v>
      </c>
      <c r="P183">
        <v>10052</v>
      </c>
      <c r="Q183" t="str">
        <f>VLOOKUP(C183,Лист1!$B$1:$N$142,5,0)</f>
        <v>RU0000053826</v>
      </c>
      <c r="R183" s="4">
        <f>VLOOKUP(C183,Лист1!$B$1:$N$142,6,0)</f>
        <v>44431</v>
      </c>
      <c r="S183" s="4">
        <f>VLOOKUP(C183,Лист1!$B$1:$N$142,7,0)</f>
        <v>44431</v>
      </c>
      <c r="T183" s="4">
        <f>VLOOKUP(C183,Лист1!$B$1:$N$142,8,0)</f>
        <v>48213</v>
      </c>
      <c r="U183" s="10">
        <f>VLOOKUP(C183,Лист1!$B$1:$N$142,9,0)</f>
        <v>4</v>
      </c>
      <c r="V183" s="10">
        <f t="shared" si="25"/>
        <v>28</v>
      </c>
      <c r="W183" s="26">
        <f t="shared" si="31"/>
        <v>28.28</v>
      </c>
      <c r="X183" s="1">
        <f t="shared" si="30"/>
        <v>31.6736</v>
      </c>
      <c r="Y183" s="1" t="s">
        <v>78</v>
      </c>
      <c r="Z183" s="3" t="s">
        <v>182</v>
      </c>
      <c r="AA183" s="2" t="str">
        <f>VLOOKUP(C183,Лист1!$B$1:$N$92,10,0)</f>
        <v>ЕАЭС N RU Д-CN.КА01.В.17403/19</v>
      </c>
      <c r="AB183" s="2">
        <f>VLOOKUP(C183,Лист1!$B$1:$N$92,11,0)</f>
        <v>43787</v>
      </c>
      <c r="AC183" s="2">
        <f>VLOOKUP(C183,Лист1!$B$1:$N$92,12,0)</f>
        <v>43787</v>
      </c>
      <c r="AD183" s="2">
        <f>VLOOKUP(C183,Лист1!$B$1:$N$92,13,0)</f>
        <v>45613</v>
      </c>
      <c r="AE183" t="s">
        <v>10</v>
      </c>
      <c r="AG183" t="s">
        <v>224</v>
      </c>
      <c r="AH183" t="str">
        <f>VLOOKUP(C183,Лист1!$B$3:$P$289,15,0)</f>
        <v xml:space="preserve">Описание
SICOM3024P-4GX24T-HV-HV-S - промышленные коммутаторы 2 уровня, монтируемые в 19" стойку. Устройства имеют 4 гигабитных порта и 24 порта 100 Мбит/с, которые могут быть как медными так и оптическими.
Коммутаторы крепятся в 19-дюймовую стойку (занимают 1U). Устройства соответствуют IEC61850-3, IEEE1613, EN50155, EN50121-4, NEMA TS-2 для использования в энергетике и на транспорте. Диапазон рабочих температур коммутаторов SICOM3024P-2M26T-SC05-HV-HV-S от -40° до +85°. 
Характеристики
Порты
Медные или оптические порты 100 Мбит/с 
26
Порты SFP+ 10G
4
Системная производительность
Стандарты: 
IEEE 802.3i, IEEE 802.3u, IEEE 802.3ab, IEEE 802.3z, IEEE 802.3x, IEEE 802.1p, IEEE 802.1Q, IEEE 802.1s 
Протоколы 
DT-Ring, DT-Ring+, MSTP
IGMP Snooping, GMRP; 
VLAN, PVLAN; 
Telnet, HTTP, HTTPS, SNMPv1/v2/v3, RMON, LLDP, DHCP server; 
SNTP, RTC;
DT-Psec, SSH, SSL, ACL;
FTP, Syslog;
ARP, QoS 
Пропускная способность устройства 
9.5 Mpps 
Питание
Напряжение питания 
 От 85 до264Вольт переменного тока или от 77 до 300Вольт постоянного тока 
Потребляемая мощность 
менее 30 Вт 
Механические характеристики
Размеры
482.6×44×322.5 мм 
Крепление 
19” стойка 
Класс защиты 
IP40 
Вес 
4 кг
Рабочая температура 
от -40 до +85С 
Температура хранения 
-40 до +85C 
Влажность 
от 5 до 95% (без конденсата) 
MTBF 
346889 часов 
Гарантия 
5 лет </v>
      </c>
    </row>
    <row r="184" spans="1:34" ht="61.5" customHeight="1" x14ac:dyDescent="0.25">
      <c r="A184" s="2">
        <v>44932</v>
      </c>
      <c r="B184">
        <f>VLOOKUP(C184,Лист1!$B$1:$N$98,2,0)</f>
        <v>8517620002</v>
      </c>
      <c r="C184" s="5" t="s">
        <v>49</v>
      </c>
      <c r="D184" s="5" t="str">
        <f>VLOOKUP(C184,Лист1!$B$2:$T$292,14,0)</f>
        <v>ПРОМЫШЛЕННЫЕ КОММУТАТОРЫ ДЛЯ УПРАВЛЕНИЯ В СЕТЯХ ETHERNET, НЕ ЛОМ ЭЛЕКТРООБОРУДОВАНИЯ, НЕ ПРЕДНАЗНАЧЕНЫ ДЛЯ НЕГЛАСНОГО ПОЛУЧЕНИЯ ИНФОРМАЦИИ, КОМПЛЕКТУЮЩИЕ ДЛЯ СЕРВЕРОВ И СЕРВЕРНОГО ОБОРУДОВАНИЯ, ГРАЖДАНСКОГО ПРИМЕНЕНИЯ. ПОСТАВЛЯЮТСЯ С  клеммными колодками , уголками для крепления в стойку и консольным кабелем.</v>
      </c>
      <c r="E184">
        <v>4</v>
      </c>
      <c r="F184" s="19">
        <v>2179.6</v>
      </c>
      <c r="G184" s="19">
        <f t="shared" si="29"/>
        <v>8718.4</v>
      </c>
      <c r="H184" t="str">
        <f>VLOOKUP(C184,Лист1!$B$1:$N$198,4,0)</f>
        <v xml:space="preserve">SICOM3028GPT-L2F-MB-HV-HV-S - промышленные коммутаторы с широким спектром сфер применния и модульным дизайном для простоты масштабирования и расширения функционала устройства. 
Характеристики
Протоколы 
DT-Ring, DT-Ring+, MSTP, DRP; IGMP Snooping, GMRP;
VLAN, GVRP, PVLAN;
Telnet, HTTP, HTTPS, SNMPv1/v2/v3, RMON, LLDP, Bootp, DHCP server/relay/client, DHCP Option 82;
SNTP, PTP, RTC;
SSH, SSL, TACACS+, RADIUS, ACL; 
ARP, Modbus TCP, QoS, LACP
PRP, HSR 
Длина волны 
1310нм (одномод), 1550нм (одномод), 1310 (многомод) 
Расстояние передачи 
10~80км (одномод) , до 5 км (100M многомод) , до 2 км (1000M многомод) 
Тип коннектора 
SC, ST, FC 
Питание
Напряжение питания 
Резервированное: 220VAC/VDC (77-300VDC/85-264VAC) 
Потребляемая мощность 
менее 28 Вт (при установке только медных модулей)
менее 42 Вт (при установке только оптических модулей) 
Механические характеристики
Размеры
482.6мм x 44мм x 360мм
Крепление 
19” стойка 
Класс защиты 
IP40 
Рабочая температура 
от -40 до +85С 
Температура хранения 
-40 до +85C 
Влажность 
от 5 до 95% (без конденсата) 
MTBF 
359000 часов 
Гарантия 
5 лет </v>
      </c>
      <c r="J184" t="s">
        <v>18</v>
      </c>
      <c r="K184">
        <v>156</v>
      </c>
      <c r="L184" t="s">
        <v>10</v>
      </c>
      <c r="M184" t="s">
        <v>19</v>
      </c>
      <c r="N184" t="s">
        <v>13</v>
      </c>
      <c r="O184" t="s">
        <v>82</v>
      </c>
      <c r="P184">
        <v>10052</v>
      </c>
      <c r="Q184" t="str">
        <f>VLOOKUP(C184,Лист1!$B$1:$N$142,5,0)</f>
        <v>RU0000053245</v>
      </c>
      <c r="R184" s="4">
        <f>VLOOKUP(C184,Лист1!$B$1:$N$142,6,0)</f>
        <v>44383</v>
      </c>
      <c r="S184" s="4">
        <f>VLOOKUP(C184,Лист1!$B$1:$N$142,7,0)</f>
        <v>44383</v>
      </c>
      <c r="T184" s="4">
        <f>VLOOKUP(C184,Лист1!$B$1:$N$142,8,0)</f>
        <v>48213</v>
      </c>
      <c r="U184" s="10">
        <f>VLOOKUP(C184,Лист1!$B$1:$N$142,9,0)</f>
        <v>10</v>
      </c>
      <c r="V184" s="10">
        <f t="shared" si="25"/>
        <v>40</v>
      </c>
      <c r="W184" s="26">
        <f t="shared" si="31"/>
        <v>40.4</v>
      </c>
      <c r="X184" s="1">
        <f t="shared" si="30"/>
        <v>45.247999999999998</v>
      </c>
      <c r="Y184" s="1" t="s">
        <v>78</v>
      </c>
      <c r="Z184" s="3" t="s">
        <v>182</v>
      </c>
      <c r="AA184" s="2" t="str">
        <f>VLOOKUP(C184,Лист1!$B$1:$N$92,10,0)</f>
        <v>ЕАЭС N RU Д-CN.КА01.В.23216/20</v>
      </c>
      <c r="AB184" s="2">
        <f>VLOOKUP(C184,Лист1!$B$1:$N$92,11,0)</f>
        <v>43908</v>
      </c>
      <c r="AC184" s="2">
        <f>VLOOKUP(C184,Лист1!$B$1:$N$92,12,0)</f>
        <v>43908</v>
      </c>
      <c r="AD184" s="2">
        <f>VLOOKUP(C184,Лист1!$B$1:$N$92,13,0)</f>
        <v>45733</v>
      </c>
      <c r="AE184" t="s">
        <v>10</v>
      </c>
      <c r="AG184" t="s">
        <v>224</v>
      </c>
      <c r="AH184" t="str">
        <f>VLOOKUP(C184,Лист1!$B$3:$P$289,15,0)</f>
        <v xml:space="preserve">SICOM3028GPT-L2F-MB-HV-HV-S - промышленные коммутаторы с широким спектром сфер применния и модульным дизайном для простоты масштабирования и расширения функционала устройства. 
Характеристики
Порты
Медные или оптические порты 100 Мбит/с 
до 24 
Медные или оптические гигабитные порты 
до 4 
Системная производительность
Стандарты: 
IEEE802.3i, IEEE802.3u, IEEE802.3ab, IEEE802.3ac, IEEE802.3ad, IEEE802.3z, IEEE802.3x, IEEE802.1p, IEEE802.1Q, IEEE802.1s, IEEE802.1X, IEC62439-6, 
IEC 61850-8-1 GOOSE сообщения 
Протоколы 
DT-Ring, DT-Ring+, MSTP, DRP; IGMP Snooping, GMRP;
VLAN, GVRP, PVLAN;
Telnet, HTTP, HTTPS, SNMPv1/v2/v3, RMON, LLDP, Bootp, DHCP server/relay/client, DHCP Option 82;
SNTP, PTP, RTC;
SSH, SSL, TACACS+, RADIUS, ACL; 
ARP, Modbus TCP, QoS, LACP
PRP, HSR 
Пропускная способность устройства 
9.5 Mpps 
Параметры оптических портов
Длина волны 
1310нм (одномод), 1550нм (одномод), 1310 (многомод) 
Расстояние передачи 
10~80км (одномод) , до 5 км (100M многомод) , до 2 км (1000M многомод) 
Тип коннектора 
SC, ST, FC 
Питание
Напряжение питания 
Резервированное: 220VAC/VDC (77-300VDC/85-264VAC) 
Потребляемая мощность 
менее 28 Вт (при установке только медных модулей)
менее 42 Вт (при установке только оптических модулей) 
Механические характеристики
Размеры
482.6мм x 44мм x 360мм
Крепление 
19” стойка 
Класс защиты 
IP40 
Рабочая температура 
от -40 до +85С 
Температура хранения 
-40 до +85C 
Влажность 
от 5 до 95% (без конденсата) 
MTBF 
359000 часов 
Гарантия 
5 лет </v>
      </c>
    </row>
    <row r="185" spans="1:34" hidden="1" x14ac:dyDescent="0.25">
      <c r="A185" s="2"/>
      <c r="B185" t="e">
        <f>VLOOKUP(C185,Лист1!$B$1:$N$98,2,0)</f>
        <v>#N/A</v>
      </c>
      <c r="D185" s="5" t="e">
        <f>VLOOKUP(C185,Лист1!$B$2:$T$292,14,0)</f>
        <v>#N/A</v>
      </c>
      <c r="F185" s="19" t="e">
        <f>VLOOKUP(C185,Лист1!$B$1:J335,3,0)</f>
        <v>#N/A</v>
      </c>
      <c r="G185" s="19" t="e">
        <f t="shared" si="29"/>
        <v>#N/A</v>
      </c>
      <c r="H185" t="e">
        <f>VLOOKUP(C185,Лист1!$B$1:$N$198,4,0)</f>
        <v>#N/A</v>
      </c>
      <c r="J185" t="s">
        <v>18</v>
      </c>
      <c r="K185">
        <v>156</v>
      </c>
      <c r="L185" t="s">
        <v>10</v>
      </c>
      <c r="M185" t="s">
        <v>19</v>
      </c>
      <c r="N185" t="s">
        <v>13</v>
      </c>
      <c r="O185" t="s">
        <v>82</v>
      </c>
      <c r="P185">
        <v>10052</v>
      </c>
      <c r="Q185" t="e">
        <f>VLOOKUP(C185,Лист1!$B$1:$N$142,5,0)</f>
        <v>#N/A</v>
      </c>
      <c r="R185" s="4" t="e">
        <f>VLOOKUP(C185,Лист1!$B$1:$N$142,6,0)</f>
        <v>#N/A</v>
      </c>
      <c r="S185" s="4" t="e">
        <f>VLOOKUP(C185,Лист1!$B$1:$N$142,7,0)</f>
        <v>#N/A</v>
      </c>
      <c r="T185" s="4" t="e">
        <f>VLOOKUP(C185,Лист1!$B$1:$N$142,8,0)</f>
        <v>#N/A</v>
      </c>
      <c r="U185" s="10" t="e">
        <f>VLOOKUP(C185,Лист1!$B$1:$N$142,9,0)</f>
        <v>#N/A</v>
      </c>
      <c r="V185" s="10" t="e">
        <f t="shared" si="25"/>
        <v>#N/A</v>
      </c>
      <c r="W185"/>
      <c r="X185" s="1">
        <f t="shared" ref="X176:X215" si="34">W185+W185*0.125</f>
        <v>0</v>
      </c>
      <c r="Y185" s="1" t="s">
        <v>78</v>
      </c>
      <c r="Z185" s="3" t="s">
        <v>182</v>
      </c>
      <c r="AA185" s="2" t="e">
        <f>VLOOKUP(C185,Лист1!$B$1:$N$92,10,0)</f>
        <v>#N/A</v>
      </c>
      <c r="AB185" s="2" t="e">
        <f>VLOOKUP(C185,Лист1!$B$1:$N$92,11,0)</f>
        <v>#N/A</v>
      </c>
      <c r="AC185" s="2" t="e">
        <f>VLOOKUP(C185,Лист1!$B$1:$N$92,12,0)</f>
        <v>#N/A</v>
      </c>
      <c r="AD185" s="2" t="e">
        <f>VLOOKUP(C185,Лист1!$B$1:$N$92,13,0)</f>
        <v>#N/A</v>
      </c>
      <c r="AE185" t="s">
        <v>10</v>
      </c>
      <c r="AG185" t="s">
        <v>223</v>
      </c>
      <c r="AH185" t="e">
        <f>VLOOKUP(C185,Лист1!$B$3:$P$289,15,0)</f>
        <v>#N/A</v>
      </c>
    </row>
    <row r="186" spans="1:34" hidden="1" x14ac:dyDescent="0.25">
      <c r="A186" s="2"/>
      <c r="B186" t="e">
        <f>VLOOKUP(C186,Лист1!$B$1:$N$98,2,0)</f>
        <v>#N/A</v>
      </c>
      <c r="D186" s="5" t="e">
        <f>VLOOKUP(C186,Лист1!$B$2:$T$292,14,0)</f>
        <v>#N/A</v>
      </c>
      <c r="F186" s="19" t="e">
        <f>VLOOKUP(C186,Лист1!$B$1:J336,3,0)</f>
        <v>#N/A</v>
      </c>
      <c r="G186" s="19" t="e">
        <f t="shared" si="29"/>
        <v>#N/A</v>
      </c>
      <c r="H186" t="e">
        <f>VLOOKUP(C186,Лист1!$B$1:$N$198,4,0)</f>
        <v>#N/A</v>
      </c>
      <c r="J186" t="s">
        <v>18</v>
      </c>
      <c r="K186">
        <v>156</v>
      </c>
      <c r="L186" t="s">
        <v>10</v>
      </c>
      <c r="M186" t="s">
        <v>19</v>
      </c>
      <c r="N186" t="s">
        <v>13</v>
      </c>
      <c r="O186" t="s">
        <v>82</v>
      </c>
      <c r="P186">
        <v>10052</v>
      </c>
      <c r="Q186" t="e">
        <f>VLOOKUP(C186,Лист1!$B$1:$N$142,5,0)</f>
        <v>#N/A</v>
      </c>
      <c r="R186" s="4" t="e">
        <f>VLOOKUP(C186,Лист1!$B$1:$N$142,6,0)</f>
        <v>#N/A</v>
      </c>
      <c r="S186" s="4" t="e">
        <f>VLOOKUP(C186,Лист1!$B$1:$N$142,7,0)</f>
        <v>#N/A</v>
      </c>
      <c r="T186" s="4" t="e">
        <f>VLOOKUP(C186,Лист1!$B$1:$N$142,8,0)</f>
        <v>#N/A</v>
      </c>
      <c r="U186" s="10" t="e">
        <f>VLOOKUP(C186,Лист1!$B$1:$N$142,9,0)</f>
        <v>#N/A</v>
      </c>
      <c r="V186" s="10" t="e">
        <f t="shared" si="25"/>
        <v>#N/A</v>
      </c>
      <c r="W186"/>
      <c r="X186" s="1">
        <f t="shared" si="34"/>
        <v>0</v>
      </c>
      <c r="Y186" s="1" t="s">
        <v>78</v>
      </c>
      <c r="Z186" s="3" t="s">
        <v>182</v>
      </c>
      <c r="AA186" s="2" t="e">
        <f>VLOOKUP(C186,Лист1!$B$1:$N$92,10,0)</f>
        <v>#N/A</v>
      </c>
      <c r="AB186" s="2" t="e">
        <f>VLOOKUP(C186,Лист1!$B$1:$N$92,11,0)</f>
        <v>#N/A</v>
      </c>
      <c r="AC186" s="2" t="e">
        <f>VLOOKUP(C186,Лист1!$B$1:$N$92,12,0)</f>
        <v>#N/A</v>
      </c>
      <c r="AD186" s="2" t="e">
        <f>VLOOKUP(C186,Лист1!$B$1:$N$92,13,0)</f>
        <v>#N/A</v>
      </c>
      <c r="AG186" t="s">
        <v>223</v>
      </c>
      <c r="AH186" t="e">
        <f>VLOOKUP(C186,Лист1!$B$3:$P$289,15,0)</f>
        <v>#N/A</v>
      </c>
    </row>
    <row r="187" spans="1:34" hidden="1" x14ac:dyDescent="0.25">
      <c r="A187" s="2"/>
      <c r="B187" t="e">
        <f>VLOOKUP(C187,Лист1!$B$1:$N$98,2,0)</f>
        <v>#N/A</v>
      </c>
      <c r="D187" s="5" t="e">
        <f>VLOOKUP(C187,Лист1!$B$2:$T$292,14,0)</f>
        <v>#N/A</v>
      </c>
      <c r="F187" s="19" t="e">
        <f>VLOOKUP(C187,Лист1!$B$1:J337,3,0)</f>
        <v>#N/A</v>
      </c>
      <c r="G187" s="19" t="e">
        <f t="shared" si="29"/>
        <v>#N/A</v>
      </c>
      <c r="H187" t="e">
        <f>VLOOKUP(C187,Лист1!$B$1:$N$198,4,0)</f>
        <v>#N/A</v>
      </c>
      <c r="J187" t="s">
        <v>18</v>
      </c>
      <c r="K187">
        <v>156</v>
      </c>
      <c r="L187" t="s">
        <v>10</v>
      </c>
      <c r="M187" t="s">
        <v>19</v>
      </c>
      <c r="N187" t="s">
        <v>13</v>
      </c>
      <c r="O187" t="s">
        <v>82</v>
      </c>
      <c r="P187">
        <v>10052</v>
      </c>
      <c r="Q187" t="e">
        <f>VLOOKUP(C187,Лист1!$B$1:$N$142,5,0)</f>
        <v>#N/A</v>
      </c>
      <c r="R187" s="4" t="e">
        <f>VLOOKUP(C187,Лист1!$B$1:$N$142,6,0)</f>
        <v>#N/A</v>
      </c>
      <c r="S187" s="4" t="e">
        <f>VLOOKUP(C187,Лист1!$B$1:$N$142,7,0)</f>
        <v>#N/A</v>
      </c>
      <c r="T187" s="4" t="e">
        <f>VLOOKUP(C187,Лист1!$B$1:$N$142,8,0)</f>
        <v>#N/A</v>
      </c>
      <c r="U187" s="10" t="e">
        <f>VLOOKUP(C187,Лист1!$B$1:$N$142,9,0)</f>
        <v>#N/A</v>
      </c>
      <c r="V187" s="10" t="e">
        <f t="shared" si="25"/>
        <v>#N/A</v>
      </c>
      <c r="W187"/>
      <c r="X187" s="1">
        <f t="shared" si="34"/>
        <v>0</v>
      </c>
      <c r="Y187" s="1" t="s">
        <v>78</v>
      </c>
      <c r="Z187" s="3" t="s">
        <v>182</v>
      </c>
      <c r="AA187" s="2" t="e">
        <f>VLOOKUP(C187,Лист1!$B$1:$N$92,10,0)</f>
        <v>#N/A</v>
      </c>
      <c r="AB187" s="2" t="e">
        <f>VLOOKUP(C187,Лист1!$B$1:$N$92,11,0)</f>
        <v>#N/A</v>
      </c>
      <c r="AC187" s="2" t="e">
        <f>VLOOKUP(C187,Лист1!$B$1:$N$92,12,0)</f>
        <v>#N/A</v>
      </c>
      <c r="AD187" s="2" t="e">
        <f>VLOOKUP(C187,Лист1!$B$1:$N$92,13,0)</f>
        <v>#N/A</v>
      </c>
      <c r="AG187" t="s">
        <v>223</v>
      </c>
      <c r="AH187" t="e">
        <f>VLOOKUP(C187,Лист1!$B$3:$P$289,15,0)</f>
        <v>#N/A</v>
      </c>
    </row>
    <row r="188" spans="1:34" hidden="1" x14ac:dyDescent="0.25">
      <c r="A188" s="2"/>
      <c r="B188" t="e">
        <f>VLOOKUP(C188,Лист1!$B$1:$N$98,2,0)</f>
        <v>#N/A</v>
      </c>
      <c r="D188" s="5" t="e">
        <f>VLOOKUP(C188,Лист1!$B$2:$T$292,14,0)</f>
        <v>#N/A</v>
      </c>
      <c r="F188" s="19" t="e">
        <f>VLOOKUP(C188,Лист1!$B$1:J338,3,0)</f>
        <v>#N/A</v>
      </c>
      <c r="G188" s="19" t="e">
        <f t="shared" si="29"/>
        <v>#N/A</v>
      </c>
      <c r="H188" t="e">
        <f>VLOOKUP(C188,Лист1!$B$1:$N$198,4,0)</f>
        <v>#N/A</v>
      </c>
      <c r="J188" t="s">
        <v>18</v>
      </c>
      <c r="K188">
        <v>156</v>
      </c>
      <c r="L188" t="s">
        <v>10</v>
      </c>
      <c r="M188" t="s">
        <v>19</v>
      </c>
      <c r="N188" t="s">
        <v>13</v>
      </c>
      <c r="O188" t="s">
        <v>82</v>
      </c>
      <c r="P188">
        <v>10052</v>
      </c>
      <c r="Q188" t="e">
        <f>VLOOKUP(C188,Лист1!$B$1:$N$142,5,0)</f>
        <v>#N/A</v>
      </c>
      <c r="R188" s="4" t="e">
        <f>VLOOKUP(C188,Лист1!$B$1:$N$142,6,0)</f>
        <v>#N/A</v>
      </c>
      <c r="S188" s="4" t="e">
        <f>VLOOKUP(C188,Лист1!$B$1:$N$142,7,0)</f>
        <v>#N/A</v>
      </c>
      <c r="T188" s="4" t="e">
        <f>VLOOKUP(C188,Лист1!$B$1:$N$142,8,0)</f>
        <v>#N/A</v>
      </c>
      <c r="U188" s="10" t="e">
        <f>VLOOKUP(C188,Лист1!$B$1:$N$142,9,0)</f>
        <v>#N/A</v>
      </c>
      <c r="V188" s="10" t="e">
        <f t="shared" si="25"/>
        <v>#N/A</v>
      </c>
      <c r="W188"/>
      <c r="X188" s="1">
        <f t="shared" si="34"/>
        <v>0</v>
      </c>
      <c r="Y188" s="1" t="s">
        <v>78</v>
      </c>
      <c r="Z188" s="3" t="s">
        <v>182</v>
      </c>
      <c r="AA188" s="2" t="e">
        <f>VLOOKUP(C188,Лист1!$B$1:$N$92,10,0)</f>
        <v>#N/A</v>
      </c>
      <c r="AB188" s="2" t="e">
        <f>VLOOKUP(C188,Лист1!$B$1:$N$92,11,0)</f>
        <v>#N/A</v>
      </c>
      <c r="AC188" s="2" t="e">
        <f>VLOOKUP(C188,Лист1!$B$1:$N$92,12,0)</f>
        <v>#N/A</v>
      </c>
      <c r="AD188" s="2" t="e">
        <f>VLOOKUP(C188,Лист1!$B$1:$N$92,13,0)</f>
        <v>#N/A</v>
      </c>
      <c r="AG188" t="s">
        <v>223</v>
      </c>
      <c r="AH188" t="e">
        <f>VLOOKUP(C188,Лист1!$B$3:$P$289,15,0)</f>
        <v>#N/A</v>
      </c>
    </row>
    <row r="189" spans="1:34" hidden="1" x14ac:dyDescent="0.25">
      <c r="A189" s="2"/>
      <c r="B189" t="e">
        <f>VLOOKUP(C189,Лист1!$B$1:$N$98,2,0)</f>
        <v>#N/A</v>
      </c>
      <c r="D189" s="5" t="e">
        <f>VLOOKUP(C189,Лист1!$B$2:$T$292,14,0)</f>
        <v>#N/A</v>
      </c>
      <c r="F189" s="19" t="e">
        <f>VLOOKUP(C189,Лист1!$B$1:J339,3,0)</f>
        <v>#N/A</v>
      </c>
      <c r="G189" s="19" t="e">
        <f t="shared" si="29"/>
        <v>#N/A</v>
      </c>
      <c r="H189" t="e">
        <f>VLOOKUP(C189,Лист1!$B$1:$N$198,4,0)</f>
        <v>#N/A</v>
      </c>
      <c r="J189" t="s">
        <v>18</v>
      </c>
      <c r="K189">
        <v>156</v>
      </c>
      <c r="L189" t="s">
        <v>10</v>
      </c>
      <c r="M189" t="s">
        <v>19</v>
      </c>
      <c r="N189" t="s">
        <v>13</v>
      </c>
      <c r="O189" t="s">
        <v>82</v>
      </c>
      <c r="P189">
        <v>10052</v>
      </c>
      <c r="Q189" t="e">
        <f>VLOOKUP(C189,Лист1!$B$1:$N$142,5,0)</f>
        <v>#N/A</v>
      </c>
      <c r="R189" s="4" t="e">
        <f>VLOOKUP(C189,Лист1!$B$1:$N$142,6,0)</f>
        <v>#N/A</v>
      </c>
      <c r="S189" s="4" t="e">
        <f>VLOOKUP(C189,Лист1!$B$1:$N$142,7,0)</f>
        <v>#N/A</v>
      </c>
      <c r="T189" s="4" t="e">
        <f>VLOOKUP(C189,Лист1!$B$1:$N$142,8,0)</f>
        <v>#N/A</v>
      </c>
      <c r="U189" s="10" t="e">
        <f>VLOOKUP(C189,Лист1!$B$1:$N$142,9,0)</f>
        <v>#N/A</v>
      </c>
      <c r="V189" s="10" t="e">
        <f t="shared" si="25"/>
        <v>#N/A</v>
      </c>
      <c r="W189"/>
      <c r="X189" s="1">
        <f t="shared" si="34"/>
        <v>0</v>
      </c>
      <c r="Y189" s="1" t="s">
        <v>78</v>
      </c>
      <c r="Z189" s="3" t="s">
        <v>182</v>
      </c>
      <c r="AA189" s="2" t="e">
        <f>VLOOKUP(C189,Лист1!$B$1:$N$92,10,0)</f>
        <v>#N/A</v>
      </c>
      <c r="AB189" s="2" t="e">
        <f>VLOOKUP(C189,Лист1!$B$1:$N$92,11,0)</f>
        <v>#N/A</v>
      </c>
      <c r="AC189" s="2" t="e">
        <f>VLOOKUP(C189,Лист1!$B$1:$N$92,12,0)</f>
        <v>#N/A</v>
      </c>
      <c r="AD189" s="2" t="e">
        <f>VLOOKUP(C189,Лист1!$B$1:$N$92,13,0)</f>
        <v>#N/A</v>
      </c>
      <c r="AG189" t="s">
        <v>223</v>
      </c>
      <c r="AH189" t="e">
        <f>VLOOKUP(C189,Лист1!$B$3:$P$289,15,0)</f>
        <v>#N/A</v>
      </c>
    </row>
    <row r="190" spans="1:34" hidden="1" x14ac:dyDescent="0.25">
      <c r="A190" s="2"/>
      <c r="B190" t="e">
        <f>VLOOKUP(C190,Лист1!$B$1:$N$98,2,0)</f>
        <v>#N/A</v>
      </c>
      <c r="D190" s="5" t="e">
        <f>VLOOKUP(C190,Лист1!$B$2:$T$292,14,0)</f>
        <v>#N/A</v>
      </c>
      <c r="F190" s="19" t="e">
        <f>VLOOKUP(C190,Лист1!$B$1:J340,3,0)</f>
        <v>#N/A</v>
      </c>
      <c r="G190" s="19" t="e">
        <f t="shared" si="29"/>
        <v>#N/A</v>
      </c>
      <c r="H190" t="e">
        <f>VLOOKUP(C190,Лист1!$B$1:$N$198,4,0)</f>
        <v>#N/A</v>
      </c>
      <c r="J190" t="s">
        <v>18</v>
      </c>
      <c r="K190">
        <v>156</v>
      </c>
      <c r="L190" t="s">
        <v>10</v>
      </c>
      <c r="M190" t="s">
        <v>19</v>
      </c>
      <c r="N190" t="s">
        <v>13</v>
      </c>
      <c r="O190" t="s">
        <v>82</v>
      </c>
      <c r="P190">
        <v>10052</v>
      </c>
      <c r="Q190" t="e">
        <f>VLOOKUP(C190,Лист1!$B$1:$N$142,5,0)</f>
        <v>#N/A</v>
      </c>
      <c r="R190" s="4" t="e">
        <f>VLOOKUP(C190,Лист1!$B$1:$N$142,6,0)</f>
        <v>#N/A</v>
      </c>
      <c r="S190" s="4" t="e">
        <f>VLOOKUP(C190,Лист1!$B$1:$N$142,7,0)</f>
        <v>#N/A</v>
      </c>
      <c r="T190" s="4" t="e">
        <f>VLOOKUP(C190,Лист1!$B$1:$N$142,8,0)</f>
        <v>#N/A</v>
      </c>
      <c r="U190" s="10" t="e">
        <f>VLOOKUP(C190,Лист1!$B$1:$N$142,9,0)</f>
        <v>#N/A</v>
      </c>
      <c r="V190" s="10" t="e">
        <f t="shared" si="25"/>
        <v>#N/A</v>
      </c>
      <c r="W190"/>
      <c r="X190" s="1">
        <f t="shared" si="34"/>
        <v>0</v>
      </c>
      <c r="Y190" s="1" t="s">
        <v>78</v>
      </c>
      <c r="Z190" s="3" t="s">
        <v>182</v>
      </c>
      <c r="AA190" s="2" t="e">
        <f>VLOOKUP(C190,Лист1!$B$1:$N$92,10,0)</f>
        <v>#N/A</v>
      </c>
      <c r="AB190" s="2" t="e">
        <f>VLOOKUP(C190,Лист1!$B$1:$N$92,11,0)</f>
        <v>#N/A</v>
      </c>
      <c r="AC190" s="2" t="e">
        <f>VLOOKUP(C190,Лист1!$B$1:$N$92,12,0)</f>
        <v>#N/A</v>
      </c>
      <c r="AD190" s="2" t="e">
        <f>VLOOKUP(C190,Лист1!$B$1:$N$92,13,0)</f>
        <v>#N/A</v>
      </c>
      <c r="AG190" t="s">
        <v>223</v>
      </c>
      <c r="AH190" t="e">
        <f>VLOOKUP(C190,Лист1!$B$3:$P$289,15,0)</f>
        <v>#N/A</v>
      </c>
    </row>
    <row r="191" spans="1:34" hidden="1" x14ac:dyDescent="0.25">
      <c r="A191" s="2"/>
      <c r="B191" t="e">
        <f>VLOOKUP(C191,Лист1!$B$1:$N$98,2,0)</f>
        <v>#N/A</v>
      </c>
      <c r="D191" s="5" t="e">
        <f>VLOOKUP(C191,Лист1!$B$2:$T$292,14,0)</f>
        <v>#N/A</v>
      </c>
      <c r="F191" s="19" t="e">
        <f>VLOOKUP(C191,Лист1!$B$1:J341,3,0)</f>
        <v>#N/A</v>
      </c>
      <c r="G191" s="19" t="e">
        <f t="shared" si="29"/>
        <v>#N/A</v>
      </c>
      <c r="H191" t="e">
        <f>VLOOKUP(C191,Лист1!$B$1:$N$198,4,0)</f>
        <v>#N/A</v>
      </c>
      <c r="J191" t="s">
        <v>18</v>
      </c>
      <c r="K191">
        <v>156</v>
      </c>
      <c r="L191" t="s">
        <v>10</v>
      </c>
      <c r="M191" t="s">
        <v>19</v>
      </c>
      <c r="N191" t="s">
        <v>13</v>
      </c>
      <c r="O191" t="s">
        <v>82</v>
      </c>
      <c r="P191">
        <v>10052</v>
      </c>
      <c r="Q191" t="e">
        <f>VLOOKUP(C191,Лист1!$B$1:$N$142,5,0)</f>
        <v>#N/A</v>
      </c>
      <c r="R191" s="4" t="e">
        <f>VLOOKUP(C191,Лист1!$B$1:$N$142,6,0)</f>
        <v>#N/A</v>
      </c>
      <c r="S191" s="4" t="e">
        <f>VLOOKUP(C191,Лист1!$B$1:$N$142,7,0)</f>
        <v>#N/A</v>
      </c>
      <c r="T191" s="4" t="e">
        <f>VLOOKUP(C191,Лист1!$B$1:$N$142,8,0)</f>
        <v>#N/A</v>
      </c>
      <c r="U191" s="10" t="e">
        <f>VLOOKUP(C191,Лист1!$B$1:$N$142,9,0)</f>
        <v>#N/A</v>
      </c>
      <c r="V191" s="10" t="e">
        <f t="shared" si="25"/>
        <v>#N/A</v>
      </c>
      <c r="W191"/>
      <c r="X191" s="1">
        <f t="shared" si="34"/>
        <v>0</v>
      </c>
      <c r="Y191" s="1" t="s">
        <v>78</v>
      </c>
      <c r="Z191" s="3" t="s">
        <v>182</v>
      </c>
      <c r="AA191" s="2" t="e">
        <f>VLOOKUP(C191,Лист1!$B$1:$N$92,10,0)</f>
        <v>#N/A</v>
      </c>
      <c r="AB191" s="2" t="e">
        <f>VLOOKUP(C191,Лист1!$B$1:$N$92,11,0)</f>
        <v>#N/A</v>
      </c>
      <c r="AC191" s="2" t="e">
        <f>VLOOKUP(C191,Лист1!$B$1:$N$92,12,0)</f>
        <v>#N/A</v>
      </c>
      <c r="AD191" s="2" t="e">
        <f>VLOOKUP(C191,Лист1!$B$1:$N$92,13,0)</f>
        <v>#N/A</v>
      </c>
      <c r="AG191" t="s">
        <v>223</v>
      </c>
      <c r="AH191" t="e">
        <f>VLOOKUP(C191,Лист1!$B$3:$P$289,15,0)</f>
        <v>#N/A</v>
      </c>
    </row>
    <row r="192" spans="1:34" hidden="1" x14ac:dyDescent="0.25">
      <c r="A192" s="2"/>
      <c r="B192" t="e">
        <f>VLOOKUP(C192,Лист1!$B$1:$N$98,2,0)</f>
        <v>#N/A</v>
      </c>
      <c r="D192" s="5" t="e">
        <f>VLOOKUP(C192,Лист1!$B$2:$T$292,14,0)</f>
        <v>#N/A</v>
      </c>
      <c r="F192" s="19" t="e">
        <f>VLOOKUP(C192,Лист1!$B$1:J342,3,0)</f>
        <v>#N/A</v>
      </c>
      <c r="G192" s="19" t="e">
        <f t="shared" si="29"/>
        <v>#N/A</v>
      </c>
      <c r="H192" t="e">
        <f>VLOOKUP(C192,Лист1!$B$1:$N$198,4,0)</f>
        <v>#N/A</v>
      </c>
      <c r="J192" t="s">
        <v>18</v>
      </c>
      <c r="K192">
        <v>156</v>
      </c>
      <c r="L192" t="s">
        <v>10</v>
      </c>
      <c r="M192" t="s">
        <v>19</v>
      </c>
      <c r="N192" t="s">
        <v>13</v>
      </c>
      <c r="O192" t="s">
        <v>82</v>
      </c>
      <c r="P192">
        <v>10052</v>
      </c>
      <c r="Q192" t="e">
        <f>VLOOKUP(C192,Лист1!$B$1:$N$142,5,0)</f>
        <v>#N/A</v>
      </c>
      <c r="R192" s="4" t="e">
        <f>VLOOKUP(C192,Лист1!$B$1:$N$142,6,0)</f>
        <v>#N/A</v>
      </c>
      <c r="S192" s="4" t="e">
        <f>VLOOKUP(C192,Лист1!$B$1:$N$142,7,0)</f>
        <v>#N/A</v>
      </c>
      <c r="T192" s="4" t="e">
        <f>VLOOKUP(C192,Лист1!$B$1:$N$142,8,0)</f>
        <v>#N/A</v>
      </c>
      <c r="U192" s="10" t="e">
        <f>VLOOKUP(C192,Лист1!$B$1:$N$142,9,0)</f>
        <v>#N/A</v>
      </c>
      <c r="V192" s="10" t="e">
        <f t="shared" si="25"/>
        <v>#N/A</v>
      </c>
      <c r="W192"/>
      <c r="X192" s="1">
        <f t="shared" si="34"/>
        <v>0</v>
      </c>
      <c r="Y192" s="1" t="s">
        <v>78</v>
      </c>
      <c r="Z192" s="3" t="s">
        <v>182</v>
      </c>
      <c r="AA192" s="2" t="e">
        <f>VLOOKUP(C192,Лист1!$B$1:$N$92,10,0)</f>
        <v>#N/A</v>
      </c>
      <c r="AB192" s="2" t="e">
        <f>VLOOKUP(C192,Лист1!$B$1:$N$92,11,0)</f>
        <v>#N/A</v>
      </c>
      <c r="AC192" s="2" t="e">
        <f>VLOOKUP(C192,Лист1!$B$1:$N$92,12,0)</f>
        <v>#N/A</v>
      </c>
      <c r="AD192" s="2" t="e">
        <f>VLOOKUP(C192,Лист1!$B$1:$N$92,13,0)</f>
        <v>#N/A</v>
      </c>
      <c r="AG192" t="s">
        <v>223</v>
      </c>
      <c r="AH192" t="e">
        <f>VLOOKUP(C192,Лист1!$B$3:$P$289,15,0)</f>
        <v>#N/A</v>
      </c>
    </row>
    <row r="193" spans="1:34" hidden="1" x14ac:dyDescent="0.25">
      <c r="A193" s="2"/>
      <c r="B193" t="e">
        <f>VLOOKUP(C193,Лист1!$B$1:$N$98,2,0)</f>
        <v>#N/A</v>
      </c>
      <c r="D193" s="5" t="e">
        <f>VLOOKUP(C193,Лист1!$B$2:$T$292,14,0)</f>
        <v>#N/A</v>
      </c>
      <c r="F193" s="19" t="e">
        <f>VLOOKUP(C193,Лист1!$B$1:J343,3,0)</f>
        <v>#N/A</v>
      </c>
      <c r="G193" s="19" t="e">
        <f t="shared" si="29"/>
        <v>#N/A</v>
      </c>
      <c r="H193" t="e">
        <f>VLOOKUP(C193,Лист1!$B$1:$N$198,4,0)</f>
        <v>#N/A</v>
      </c>
      <c r="J193" t="s">
        <v>18</v>
      </c>
      <c r="K193">
        <v>156</v>
      </c>
      <c r="L193" t="s">
        <v>10</v>
      </c>
      <c r="M193" t="s">
        <v>19</v>
      </c>
      <c r="N193" t="s">
        <v>13</v>
      </c>
      <c r="O193" t="s">
        <v>82</v>
      </c>
      <c r="P193">
        <v>10052</v>
      </c>
      <c r="Q193" t="e">
        <f>VLOOKUP(C193,Лист1!$B$1:$N$142,5,0)</f>
        <v>#N/A</v>
      </c>
      <c r="R193" s="4" t="e">
        <f>VLOOKUP(C193,Лист1!$B$1:$N$142,6,0)</f>
        <v>#N/A</v>
      </c>
      <c r="S193" s="4" t="e">
        <f>VLOOKUP(C193,Лист1!$B$1:$N$142,7,0)</f>
        <v>#N/A</v>
      </c>
      <c r="T193" s="4" t="e">
        <f>VLOOKUP(C193,Лист1!$B$1:$N$142,8,0)</f>
        <v>#N/A</v>
      </c>
      <c r="U193" s="10" t="e">
        <f>VLOOKUP(C193,Лист1!$B$1:$N$142,9,0)</f>
        <v>#N/A</v>
      </c>
      <c r="V193" s="10" t="e">
        <f t="shared" si="25"/>
        <v>#N/A</v>
      </c>
      <c r="W193"/>
      <c r="X193" s="1">
        <f t="shared" si="34"/>
        <v>0</v>
      </c>
      <c r="Y193" s="1" t="s">
        <v>78</v>
      </c>
      <c r="Z193" s="3" t="s">
        <v>182</v>
      </c>
      <c r="AA193" s="2" t="e">
        <f>VLOOKUP(C193,Лист1!$B$1:$N$92,10,0)</f>
        <v>#N/A</v>
      </c>
      <c r="AB193" s="2" t="e">
        <f>VLOOKUP(C193,Лист1!$B$1:$N$92,11,0)</f>
        <v>#N/A</v>
      </c>
      <c r="AC193" s="2" t="e">
        <f>VLOOKUP(C193,Лист1!$B$1:$N$92,12,0)</f>
        <v>#N/A</v>
      </c>
      <c r="AD193" s="2" t="e">
        <f>VLOOKUP(C193,Лист1!$B$1:$N$92,13,0)</f>
        <v>#N/A</v>
      </c>
      <c r="AG193" t="s">
        <v>223</v>
      </c>
      <c r="AH193" t="e">
        <f>VLOOKUP(C193,Лист1!$B$3:$P$289,15,0)</f>
        <v>#N/A</v>
      </c>
    </row>
    <row r="194" spans="1:34" hidden="1" x14ac:dyDescent="0.25">
      <c r="A194" s="2"/>
      <c r="B194" t="e">
        <f>VLOOKUP(C194,Лист1!$B$1:$N$98,2,0)</f>
        <v>#N/A</v>
      </c>
      <c r="D194" s="5" t="e">
        <f>VLOOKUP(C194,Лист1!$B$2:$T$292,14,0)</f>
        <v>#N/A</v>
      </c>
      <c r="F194" s="19" t="e">
        <f>VLOOKUP(C194,Лист1!$B$1:J344,3,0)</f>
        <v>#N/A</v>
      </c>
      <c r="G194" s="19" t="e">
        <f t="shared" si="29"/>
        <v>#N/A</v>
      </c>
      <c r="H194" t="e">
        <f>VLOOKUP(C194,Лист1!$B$1:$N$198,4,0)</f>
        <v>#N/A</v>
      </c>
      <c r="J194" t="s">
        <v>18</v>
      </c>
      <c r="K194">
        <v>156</v>
      </c>
      <c r="L194" t="s">
        <v>10</v>
      </c>
      <c r="M194" t="s">
        <v>19</v>
      </c>
      <c r="N194" t="s">
        <v>13</v>
      </c>
      <c r="P194">
        <v>10052</v>
      </c>
      <c r="Q194" t="e">
        <f>VLOOKUP(C194,Лист1!$B$1:$N$142,5,0)</f>
        <v>#N/A</v>
      </c>
      <c r="R194" s="4" t="e">
        <f>VLOOKUP(C194,Лист1!$B$1:$N$142,6,0)</f>
        <v>#N/A</v>
      </c>
      <c r="S194" s="4" t="e">
        <f>VLOOKUP(C194,Лист1!$B$1:$N$142,7,0)</f>
        <v>#N/A</v>
      </c>
      <c r="T194" s="4" t="e">
        <f>VLOOKUP(C194,Лист1!$B$1:$N$142,8,0)</f>
        <v>#N/A</v>
      </c>
      <c r="U194" s="10" t="e">
        <f>VLOOKUP(C194,Лист1!$B$1:$N$142,9,0)</f>
        <v>#N/A</v>
      </c>
      <c r="V194" s="10" t="e">
        <f t="shared" si="25"/>
        <v>#N/A</v>
      </c>
      <c r="W194"/>
      <c r="X194" s="1">
        <f t="shared" si="34"/>
        <v>0</v>
      </c>
      <c r="Y194" s="1" t="s">
        <v>78</v>
      </c>
      <c r="Z194" s="3" t="s">
        <v>182</v>
      </c>
      <c r="AA194" s="2" t="e">
        <f>VLOOKUP(C194,Лист1!$B$1:$N$92,10,0)</f>
        <v>#N/A</v>
      </c>
      <c r="AB194" s="2" t="e">
        <f>VLOOKUP(C194,Лист1!$B$1:$N$92,11,0)</f>
        <v>#N/A</v>
      </c>
      <c r="AC194" s="2" t="e">
        <f>VLOOKUP(C194,Лист1!$B$1:$N$92,12,0)</f>
        <v>#N/A</v>
      </c>
      <c r="AD194" s="2" t="e">
        <f>VLOOKUP(C194,Лист1!$B$1:$N$92,13,0)</f>
        <v>#N/A</v>
      </c>
      <c r="AG194" t="s">
        <v>223</v>
      </c>
      <c r="AH194" t="e">
        <f>VLOOKUP(C194,Лист1!$B$3:$P$289,15,0)</f>
        <v>#N/A</v>
      </c>
    </row>
    <row r="195" spans="1:34" hidden="1" x14ac:dyDescent="0.25">
      <c r="A195" s="2"/>
      <c r="B195" t="e">
        <f>VLOOKUP(C195,Лист1!$B$1:$N$98,2,0)</f>
        <v>#N/A</v>
      </c>
      <c r="D195" s="5" t="e">
        <f>VLOOKUP(C195,Лист1!$B$2:$T$292,14,0)</f>
        <v>#N/A</v>
      </c>
      <c r="F195" s="19" t="e">
        <f>VLOOKUP(C195,Лист1!$B$1:J345,3,0)</f>
        <v>#N/A</v>
      </c>
      <c r="G195" s="19" t="e">
        <f t="shared" si="29"/>
        <v>#N/A</v>
      </c>
      <c r="H195" t="e">
        <f>VLOOKUP(C195,Лист1!$B$1:$N$198,4,0)</f>
        <v>#N/A</v>
      </c>
      <c r="J195" t="s">
        <v>18</v>
      </c>
      <c r="K195">
        <v>156</v>
      </c>
      <c r="L195" t="s">
        <v>10</v>
      </c>
      <c r="M195" t="s">
        <v>19</v>
      </c>
      <c r="N195" t="s">
        <v>13</v>
      </c>
      <c r="P195">
        <v>10052</v>
      </c>
      <c r="Q195" t="e">
        <f>VLOOKUP(C195,Лист1!$B$1:$N$142,5,0)</f>
        <v>#N/A</v>
      </c>
      <c r="R195" s="4" t="e">
        <f>VLOOKUP(C195,Лист1!$B$1:$N$142,6,0)</f>
        <v>#N/A</v>
      </c>
      <c r="S195" s="4" t="e">
        <f>VLOOKUP(C195,Лист1!$B$1:$N$142,7,0)</f>
        <v>#N/A</v>
      </c>
      <c r="T195" s="4" t="e">
        <f>VLOOKUP(C195,Лист1!$B$1:$N$142,8,0)</f>
        <v>#N/A</v>
      </c>
      <c r="U195" s="10" t="e">
        <f>VLOOKUP(C195,Лист1!$B$1:$N$142,9,0)</f>
        <v>#N/A</v>
      </c>
      <c r="V195" s="10" t="e">
        <f t="shared" si="25"/>
        <v>#N/A</v>
      </c>
      <c r="W195"/>
      <c r="X195" s="1">
        <f t="shared" si="34"/>
        <v>0</v>
      </c>
      <c r="Y195" s="1" t="s">
        <v>78</v>
      </c>
      <c r="Z195" s="3" t="s">
        <v>182</v>
      </c>
      <c r="AA195" s="2" t="e">
        <f>VLOOKUP(C195,Лист1!$B$1:$N$92,10,0)</f>
        <v>#N/A</v>
      </c>
      <c r="AB195" s="2" t="e">
        <f>VLOOKUP(C195,Лист1!$B$1:$N$92,11,0)</f>
        <v>#N/A</v>
      </c>
      <c r="AC195" s="2" t="e">
        <f>VLOOKUP(C195,Лист1!$B$1:$N$92,12,0)</f>
        <v>#N/A</v>
      </c>
      <c r="AD195" s="2" t="e">
        <f>VLOOKUP(C195,Лист1!$B$1:$N$92,13,0)</f>
        <v>#N/A</v>
      </c>
      <c r="AG195" t="s">
        <v>223</v>
      </c>
      <c r="AH195" t="e">
        <f>VLOOKUP(C195,Лист1!$B$3:$P$289,15,0)</f>
        <v>#N/A</v>
      </c>
    </row>
    <row r="196" spans="1:34" hidden="1" x14ac:dyDescent="0.25">
      <c r="A196" s="2"/>
      <c r="B196" t="e">
        <f>VLOOKUP(C196,Лист1!$B$1:$N$98,2,0)</f>
        <v>#N/A</v>
      </c>
      <c r="D196" s="5" t="e">
        <f>VLOOKUP(C196,Лист1!$B$2:$T$292,14,0)</f>
        <v>#N/A</v>
      </c>
      <c r="F196" s="19" t="e">
        <f>VLOOKUP(C196,Лист1!$B$1:J346,3,0)</f>
        <v>#N/A</v>
      </c>
      <c r="G196" s="19" t="e">
        <f t="shared" si="29"/>
        <v>#N/A</v>
      </c>
      <c r="H196" t="e">
        <f>VLOOKUP(C196,Лист1!$B$1:$N$198,4,0)</f>
        <v>#N/A</v>
      </c>
      <c r="J196" t="s">
        <v>18</v>
      </c>
      <c r="K196">
        <v>156</v>
      </c>
      <c r="L196" t="s">
        <v>10</v>
      </c>
      <c r="M196" t="s">
        <v>19</v>
      </c>
      <c r="N196" t="s">
        <v>13</v>
      </c>
      <c r="P196">
        <v>10052</v>
      </c>
      <c r="Q196" t="e">
        <f>VLOOKUP(C196,Лист1!$B$1:$N$142,5,0)</f>
        <v>#N/A</v>
      </c>
      <c r="R196" s="4" t="e">
        <f>VLOOKUP(C196,Лист1!$B$1:$N$142,6,0)</f>
        <v>#N/A</v>
      </c>
      <c r="S196" s="4" t="e">
        <f>VLOOKUP(C196,Лист1!$B$1:$N$142,7,0)</f>
        <v>#N/A</v>
      </c>
      <c r="T196" s="4" t="e">
        <f>VLOOKUP(C196,Лист1!$B$1:$N$142,8,0)</f>
        <v>#N/A</v>
      </c>
      <c r="U196" s="10" t="e">
        <f>VLOOKUP(C196,Лист1!$B$1:$N$142,9,0)</f>
        <v>#N/A</v>
      </c>
      <c r="V196" s="10" t="e">
        <f t="shared" si="25"/>
        <v>#N/A</v>
      </c>
      <c r="W196"/>
      <c r="X196" s="1">
        <f t="shared" si="34"/>
        <v>0</v>
      </c>
      <c r="Y196" s="1" t="s">
        <v>78</v>
      </c>
      <c r="Z196" s="3" t="s">
        <v>182</v>
      </c>
      <c r="AA196" s="2" t="e">
        <f>VLOOKUP(C196,Лист1!$B$1:$N$92,10,0)</f>
        <v>#N/A</v>
      </c>
      <c r="AB196" s="2" t="e">
        <f>VLOOKUP(C196,Лист1!$B$1:$N$92,11,0)</f>
        <v>#N/A</v>
      </c>
      <c r="AC196" s="2" t="e">
        <f>VLOOKUP(C196,Лист1!$B$1:$N$92,12,0)</f>
        <v>#N/A</v>
      </c>
      <c r="AD196" s="2" t="e">
        <f>VLOOKUP(C196,Лист1!$B$1:$N$92,13,0)</f>
        <v>#N/A</v>
      </c>
      <c r="AG196" t="s">
        <v>223</v>
      </c>
      <c r="AH196" t="e">
        <f>VLOOKUP(C196,Лист1!$B$3:$P$289,15,0)</f>
        <v>#N/A</v>
      </c>
    </row>
    <row r="197" spans="1:34" hidden="1" x14ac:dyDescent="0.25">
      <c r="A197" s="2"/>
      <c r="B197" t="e">
        <f>VLOOKUP(C197,Лист1!$B$1:$N$98,2,0)</f>
        <v>#N/A</v>
      </c>
      <c r="D197" s="5" t="e">
        <f>VLOOKUP(C197,Лист1!$B$2:$T$292,14,0)</f>
        <v>#N/A</v>
      </c>
      <c r="F197" s="19" t="e">
        <f>VLOOKUP(C197,Лист1!$B$1:J347,3,0)</f>
        <v>#N/A</v>
      </c>
      <c r="G197" s="19" t="e">
        <f t="shared" si="29"/>
        <v>#N/A</v>
      </c>
      <c r="H197" t="e">
        <f>VLOOKUP(C197,Лист1!$B$1:$N$198,4,0)</f>
        <v>#N/A</v>
      </c>
      <c r="J197" t="s">
        <v>18</v>
      </c>
      <c r="K197">
        <v>156</v>
      </c>
      <c r="L197" t="s">
        <v>10</v>
      </c>
      <c r="M197" t="s">
        <v>19</v>
      </c>
      <c r="N197" t="s">
        <v>13</v>
      </c>
      <c r="P197">
        <v>10052</v>
      </c>
      <c r="Q197" t="e">
        <f>VLOOKUP(C197,Лист1!$B$1:$N$142,5,0)</f>
        <v>#N/A</v>
      </c>
      <c r="R197" s="4" t="e">
        <f>VLOOKUP(C197,Лист1!$B$1:$N$142,6,0)</f>
        <v>#N/A</v>
      </c>
      <c r="S197" s="4" t="e">
        <f>VLOOKUP(C197,Лист1!$B$1:$N$142,7,0)</f>
        <v>#N/A</v>
      </c>
      <c r="T197" s="4" t="e">
        <f>VLOOKUP(C197,Лист1!$B$1:$N$142,8,0)</f>
        <v>#N/A</v>
      </c>
      <c r="U197" s="10" t="e">
        <f>VLOOKUP(C197,Лист1!$B$1:$N$142,9,0)</f>
        <v>#N/A</v>
      </c>
      <c r="V197" s="10" t="e">
        <f t="shared" si="25"/>
        <v>#N/A</v>
      </c>
      <c r="W197"/>
      <c r="X197" s="1">
        <f t="shared" si="34"/>
        <v>0</v>
      </c>
      <c r="Y197" s="1" t="s">
        <v>78</v>
      </c>
      <c r="Z197" s="3" t="s">
        <v>182</v>
      </c>
      <c r="AA197" s="2" t="e">
        <f>VLOOKUP(C197,Лист1!$B$1:$N$92,10,0)</f>
        <v>#N/A</v>
      </c>
      <c r="AB197" s="2" t="e">
        <f>VLOOKUP(C197,Лист1!$B$1:$N$92,11,0)</f>
        <v>#N/A</v>
      </c>
      <c r="AC197" s="2" t="e">
        <f>VLOOKUP(C197,Лист1!$B$1:$N$92,12,0)</f>
        <v>#N/A</v>
      </c>
      <c r="AD197" s="2" t="e">
        <f>VLOOKUP(C197,Лист1!$B$1:$N$92,13,0)</f>
        <v>#N/A</v>
      </c>
      <c r="AG197" t="s">
        <v>223</v>
      </c>
      <c r="AH197" t="e">
        <f>VLOOKUP(C197,Лист1!$B$3:$P$289,15,0)</f>
        <v>#N/A</v>
      </c>
    </row>
    <row r="198" spans="1:34" hidden="1" x14ac:dyDescent="0.25">
      <c r="A198" s="2"/>
      <c r="B198" t="e">
        <f>VLOOKUP(C198,Лист1!$B$1:$N$98,2,0)</f>
        <v>#N/A</v>
      </c>
      <c r="D198" s="5" t="e">
        <f>VLOOKUP(C198,Лист1!$B$2:$T$292,14,0)</f>
        <v>#N/A</v>
      </c>
      <c r="F198" s="19" t="e">
        <f>VLOOKUP(C198,Лист1!$B$1:J348,3,0)</f>
        <v>#N/A</v>
      </c>
      <c r="G198" s="19" t="e">
        <f t="shared" si="29"/>
        <v>#N/A</v>
      </c>
      <c r="H198" t="e">
        <f>VLOOKUP(C198,Лист1!$B$1:$N$198,4,0)</f>
        <v>#N/A</v>
      </c>
      <c r="J198" t="s">
        <v>18</v>
      </c>
      <c r="K198">
        <v>156</v>
      </c>
      <c r="L198" t="s">
        <v>10</v>
      </c>
      <c r="M198" t="s">
        <v>19</v>
      </c>
      <c r="N198" t="s">
        <v>13</v>
      </c>
      <c r="P198">
        <v>10052</v>
      </c>
      <c r="Q198" t="e">
        <f>VLOOKUP(C198,Лист1!$B$1:$N$142,5,0)</f>
        <v>#N/A</v>
      </c>
      <c r="R198" s="4" t="e">
        <f>VLOOKUP(C198,Лист1!$B$1:$N$142,6,0)</f>
        <v>#N/A</v>
      </c>
      <c r="S198" s="4" t="e">
        <f>VLOOKUP(C198,Лист1!$B$1:$N$142,7,0)</f>
        <v>#N/A</v>
      </c>
      <c r="T198" s="4" t="e">
        <f>VLOOKUP(C198,Лист1!$B$1:$N$142,8,0)</f>
        <v>#N/A</v>
      </c>
      <c r="U198" s="10" t="e">
        <f>VLOOKUP(C198,Лист1!$B$1:$N$142,9,0)</f>
        <v>#N/A</v>
      </c>
      <c r="V198" s="10" t="e">
        <f t="shared" si="25"/>
        <v>#N/A</v>
      </c>
      <c r="W198"/>
      <c r="X198" s="1">
        <f t="shared" si="34"/>
        <v>0</v>
      </c>
      <c r="Y198" s="1" t="s">
        <v>78</v>
      </c>
      <c r="Z198" s="3" t="s">
        <v>182</v>
      </c>
      <c r="AA198" s="2" t="e">
        <f>VLOOKUP(C198,Лист1!$B$1:$N$92,10,0)</f>
        <v>#N/A</v>
      </c>
      <c r="AB198" s="2" t="e">
        <f>VLOOKUP(C198,Лист1!$B$1:$N$92,11,0)</f>
        <v>#N/A</v>
      </c>
      <c r="AC198" s="2" t="e">
        <f>VLOOKUP(C198,Лист1!$B$1:$N$92,12,0)</f>
        <v>#N/A</v>
      </c>
      <c r="AD198" s="2" t="e">
        <f>VLOOKUP(C198,Лист1!$B$1:$N$92,13,0)</f>
        <v>#N/A</v>
      </c>
      <c r="AG198" t="s">
        <v>223</v>
      </c>
      <c r="AH198" t="e">
        <f>VLOOKUP(C198,Лист1!$B$3:$P$289,15,0)</f>
        <v>#N/A</v>
      </c>
    </row>
    <row r="199" spans="1:34" hidden="1" x14ac:dyDescent="0.25">
      <c r="A199" s="2"/>
      <c r="B199" t="e">
        <f>VLOOKUP(C199,Лист1!$B$1:$N$98,2,0)</f>
        <v>#N/A</v>
      </c>
      <c r="D199" s="5" t="e">
        <f>VLOOKUP(C199,Лист1!$B$2:$T$292,14,0)</f>
        <v>#N/A</v>
      </c>
      <c r="F199" s="19" t="e">
        <f>VLOOKUP(C199,Лист1!$B$1:J349,3,0)</f>
        <v>#N/A</v>
      </c>
      <c r="G199" s="19" t="e">
        <f t="shared" si="29"/>
        <v>#N/A</v>
      </c>
      <c r="H199" t="e">
        <f>VLOOKUP(C199,Лист1!$B$1:$N$198,4,0)</f>
        <v>#N/A</v>
      </c>
      <c r="J199" t="s">
        <v>18</v>
      </c>
      <c r="K199">
        <v>156</v>
      </c>
      <c r="L199" t="s">
        <v>10</v>
      </c>
      <c r="M199" t="s">
        <v>19</v>
      </c>
      <c r="N199" t="s">
        <v>13</v>
      </c>
      <c r="P199">
        <v>10052</v>
      </c>
      <c r="Q199" t="e">
        <f>VLOOKUP(C199,Лист1!$B$1:$N$142,5,0)</f>
        <v>#N/A</v>
      </c>
      <c r="R199" s="4" t="e">
        <f>VLOOKUP(C199,Лист1!$B$1:$N$142,6,0)</f>
        <v>#N/A</v>
      </c>
      <c r="S199" s="4" t="e">
        <f>VLOOKUP(C199,Лист1!$B$1:$N$142,7,0)</f>
        <v>#N/A</v>
      </c>
      <c r="T199" s="4" t="e">
        <f>VLOOKUP(C199,Лист1!$B$1:$N$142,8,0)</f>
        <v>#N/A</v>
      </c>
      <c r="U199" s="10" t="e">
        <f>VLOOKUP(C199,Лист1!$B$1:$N$142,9,0)</f>
        <v>#N/A</v>
      </c>
      <c r="V199" s="10" t="e">
        <f t="shared" si="25"/>
        <v>#N/A</v>
      </c>
      <c r="W199"/>
      <c r="X199" s="1">
        <f t="shared" si="34"/>
        <v>0</v>
      </c>
      <c r="Y199" s="1" t="s">
        <v>78</v>
      </c>
      <c r="Z199" s="3" t="s">
        <v>182</v>
      </c>
      <c r="AA199" s="2" t="e">
        <f>VLOOKUP(C199,Лист1!$B$1:$N$92,10,0)</f>
        <v>#N/A</v>
      </c>
      <c r="AB199" s="2" t="e">
        <f>VLOOKUP(C199,Лист1!$B$1:$N$92,11,0)</f>
        <v>#N/A</v>
      </c>
      <c r="AC199" s="2" t="e">
        <f>VLOOKUP(C199,Лист1!$B$1:$N$92,12,0)</f>
        <v>#N/A</v>
      </c>
      <c r="AD199" s="2" t="e">
        <f>VLOOKUP(C199,Лист1!$B$1:$N$92,13,0)</f>
        <v>#N/A</v>
      </c>
      <c r="AG199" t="s">
        <v>223</v>
      </c>
      <c r="AH199" t="e">
        <f>VLOOKUP(C199,Лист1!$B$3:$P$289,15,0)</f>
        <v>#N/A</v>
      </c>
    </row>
    <row r="200" spans="1:34" hidden="1" x14ac:dyDescent="0.25">
      <c r="A200" s="2"/>
      <c r="B200" t="e">
        <f>VLOOKUP(C200,Лист1!$B$1:$N$98,2,0)</f>
        <v>#N/A</v>
      </c>
      <c r="D200" s="5" t="e">
        <f>VLOOKUP(C200,Лист1!$B$2:$T$292,14,0)</f>
        <v>#N/A</v>
      </c>
      <c r="F200" s="19" t="e">
        <f>VLOOKUP(C200,Лист1!$B$1:J350,3,0)</f>
        <v>#N/A</v>
      </c>
      <c r="G200" s="19" t="e">
        <f t="shared" si="29"/>
        <v>#N/A</v>
      </c>
      <c r="H200" t="e">
        <f>VLOOKUP(C200,Лист1!$B$1:$N$198,4,0)</f>
        <v>#N/A</v>
      </c>
      <c r="J200" t="s">
        <v>18</v>
      </c>
      <c r="K200">
        <v>156</v>
      </c>
      <c r="L200" t="s">
        <v>10</v>
      </c>
      <c r="M200" t="s">
        <v>19</v>
      </c>
      <c r="N200" t="s">
        <v>13</v>
      </c>
      <c r="P200">
        <v>10052</v>
      </c>
      <c r="Q200" t="e">
        <f>VLOOKUP(C200,Лист1!$B$1:$N$142,5,0)</f>
        <v>#N/A</v>
      </c>
      <c r="R200" s="4" t="e">
        <f>VLOOKUP(C200,Лист1!$B$1:$N$142,6,0)</f>
        <v>#N/A</v>
      </c>
      <c r="S200" s="4" t="e">
        <f>VLOOKUP(C200,Лист1!$B$1:$N$142,7,0)</f>
        <v>#N/A</v>
      </c>
      <c r="T200" s="4" t="e">
        <f>VLOOKUP(C200,Лист1!$B$1:$N$142,8,0)</f>
        <v>#N/A</v>
      </c>
      <c r="U200" s="10" t="e">
        <f>VLOOKUP(C200,Лист1!$B$1:$N$142,9,0)</f>
        <v>#N/A</v>
      </c>
      <c r="V200" s="10" t="e">
        <f t="shared" si="25"/>
        <v>#N/A</v>
      </c>
      <c r="W200"/>
      <c r="X200" s="1">
        <f t="shared" si="34"/>
        <v>0</v>
      </c>
      <c r="Y200" s="1" t="s">
        <v>78</v>
      </c>
      <c r="Z200" s="3" t="s">
        <v>182</v>
      </c>
      <c r="AA200" s="2" t="e">
        <f>VLOOKUP(C200,Лист1!$B$1:$N$92,10,0)</f>
        <v>#N/A</v>
      </c>
      <c r="AB200" s="2" t="e">
        <f>VLOOKUP(C200,Лист1!$B$1:$N$92,11,0)</f>
        <v>#N/A</v>
      </c>
      <c r="AC200" s="2" t="e">
        <f>VLOOKUP(C200,Лист1!$B$1:$N$92,12,0)</f>
        <v>#N/A</v>
      </c>
      <c r="AD200" s="2" t="e">
        <f>VLOOKUP(C200,Лист1!$B$1:$N$92,13,0)</f>
        <v>#N/A</v>
      </c>
      <c r="AG200" t="s">
        <v>223</v>
      </c>
      <c r="AH200" t="e">
        <f>VLOOKUP(C200,Лист1!$B$3:$P$289,15,0)</f>
        <v>#N/A</v>
      </c>
    </row>
    <row r="201" spans="1:34" hidden="1" x14ac:dyDescent="0.25">
      <c r="A201" s="2"/>
      <c r="B201" t="e">
        <f>VLOOKUP(C201,Лист1!$B$1:$N$98,2,0)</f>
        <v>#N/A</v>
      </c>
      <c r="D201" s="5" t="e">
        <f>VLOOKUP(C201,Лист1!$B$2:$T$292,14,0)</f>
        <v>#N/A</v>
      </c>
      <c r="F201" s="19" t="e">
        <f>VLOOKUP(C201,Лист1!$B$1:J351,3,0)</f>
        <v>#N/A</v>
      </c>
      <c r="G201" s="19" t="e">
        <f t="shared" si="29"/>
        <v>#N/A</v>
      </c>
      <c r="H201" t="e">
        <f>VLOOKUP(C201,Лист1!$B$1:$N$198,4,0)</f>
        <v>#N/A</v>
      </c>
      <c r="J201" t="s">
        <v>18</v>
      </c>
      <c r="K201">
        <v>156</v>
      </c>
      <c r="L201" t="s">
        <v>10</v>
      </c>
      <c r="M201" t="s">
        <v>19</v>
      </c>
      <c r="N201" t="s">
        <v>13</v>
      </c>
      <c r="P201">
        <v>10052</v>
      </c>
      <c r="Q201" t="e">
        <f>VLOOKUP(C201,Лист1!$B$1:$N$142,5,0)</f>
        <v>#N/A</v>
      </c>
      <c r="R201" s="4" t="e">
        <f>VLOOKUP(C201,Лист1!$B$1:$N$142,6,0)</f>
        <v>#N/A</v>
      </c>
      <c r="S201" s="4" t="e">
        <f>VLOOKUP(C201,Лист1!$B$1:$N$142,7,0)</f>
        <v>#N/A</v>
      </c>
      <c r="T201" s="4" t="e">
        <f>VLOOKUP(C201,Лист1!$B$1:$N$142,8,0)</f>
        <v>#N/A</v>
      </c>
      <c r="U201" s="10" t="e">
        <f>VLOOKUP(C201,Лист1!$B$1:$N$142,9,0)</f>
        <v>#N/A</v>
      </c>
      <c r="V201" s="10" t="e">
        <f t="shared" si="25"/>
        <v>#N/A</v>
      </c>
      <c r="W201"/>
      <c r="X201" s="1">
        <f t="shared" si="34"/>
        <v>0</v>
      </c>
      <c r="Y201" s="1" t="s">
        <v>78</v>
      </c>
      <c r="Z201" s="3" t="s">
        <v>182</v>
      </c>
      <c r="AA201" s="2" t="e">
        <f>VLOOKUP(C201,Лист1!$B$1:$N$92,10,0)</f>
        <v>#N/A</v>
      </c>
      <c r="AB201" s="2" t="e">
        <f>VLOOKUP(C201,Лист1!$B$1:$N$92,11,0)</f>
        <v>#N/A</v>
      </c>
      <c r="AC201" s="2" t="e">
        <f>VLOOKUP(C201,Лист1!$B$1:$N$92,12,0)</f>
        <v>#N/A</v>
      </c>
      <c r="AD201" s="2" t="e">
        <f>VLOOKUP(C201,Лист1!$B$1:$N$92,13,0)</f>
        <v>#N/A</v>
      </c>
      <c r="AG201" t="s">
        <v>223</v>
      </c>
      <c r="AH201" t="e">
        <f>VLOOKUP(C201,Лист1!$B$3:$P$289,15,0)</f>
        <v>#N/A</v>
      </c>
    </row>
    <row r="202" spans="1:34" hidden="1" x14ac:dyDescent="0.25">
      <c r="A202" s="2"/>
      <c r="B202" t="e">
        <f>VLOOKUP(C202,Лист1!$B$1:$N$98,2,0)</f>
        <v>#N/A</v>
      </c>
      <c r="D202" s="5" t="e">
        <f>VLOOKUP(C202,Лист1!$B$2:$T$292,14,0)</f>
        <v>#N/A</v>
      </c>
      <c r="F202" s="19" t="e">
        <f>VLOOKUP(C202,Лист1!$B$1:J352,3,0)</f>
        <v>#N/A</v>
      </c>
      <c r="G202" s="19" t="e">
        <f t="shared" si="29"/>
        <v>#N/A</v>
      </c>
      <c r="H202" t="e">
        <f>VLOOKUP(C202,Лист1!$B$1:$N$198,4,0)</f>
        <v>#N/A</v>
      </c>
      <c r="J202" t="s">
        <v>18</v>
      </c>
      <c r="K202">
        <v>156</v>
      </c>
      <c r="L202" t="s">
        <v>10</v>
      </c>
      <c r="M202" t="s">
        <v>19</v>
      </c>
      <c r="N202" t="s">
        <v>13</v>
      </c>
      <c r="P202">
        <v>10052</v>
      </c>
      <c r="Q202" t="e">
        <f>VLOOKUP(C202,Лист1!$B$1:$N$142,5,0)</f>
        <v>#N/A</v>
      </c>
      <c r="R202" s="4" t="e">
        <f>VLOOKUP(C202,Лист1!$B$1:$N$142,6,0)</f>
        <v>#N/A</v>
      </c>
      <c r="S202" s="4" t="e">
        <f>VLOOKUP(C202,Лист1!$B$1:$N$142,7,0)</f>
        <v>#N/A</v>
      </c>
      <c r="T202" s="4" t="e">
        <f>VLOOKUP(C202,Лист1!$B$1:$N$142,8,0)</f>
        <v>#N/A</v>
      </c>
      <c r="U202" s="10" t="e">
        <f>VLOOKUP(C202,Лист1!$B$1:$N$142,9,0)</f>
        <v>#N/A</v>
      </c>
      <c r="V202" s="10" t="e">
        <f t="shared" si="25"/>
        <v>#N/A</v>
      </c>
      <c r="W202"/>
      <c r="X202" s="1">
        <f t="shared" si="34"/>
        <v>0</v>
      </c>
      <c r="Y202" s="1" t="s">
        <v>78</v>
      </c>
      <c r="Z202" s="3" t="s">
        <v>182</v>
      </c>
      <c r="AA202" s="2" t="e">
        <f>VLOOKUP(C202,Лист1!$B$1:$N$92,10,0)</f>
        <v>#N/A</v>
      </c>
      <c r="AB202" s="2" t="e">
        <f>VLOOKUP(C202,Лист1!$B$1:$N$92,11,0)</f>
        <v>#N/A</v>
      </c>
      <c r="AC202" s="2" t="e">
        <f>VLOOKUP(C202,Лист1!$B$1:$N$92,12,0)</f>
        <v>#N/A</v>
      </c>
      <c r="AD202" s="2" t="e">
        <f>VLOOKUP(C202,Лист1!$B$1:$N$92,13,0)</f>
        <v>#N/A</v>
      </c>
      <c r="AG202" t="s">
        <v>223</v>
      </c>
      <c r="AH202" t="e">
        <f>VLOOKUP(C202,Лист1!$B$3:$P$289,15,0)</f>
        <v>#N/A</v>
      </c>
    </row>
    <row r="203" spans="1:34" hidden="1" x14ac:dyDescent="0.25">
      <c r="A203" s="2"/>
      <c r="B203" t="e">
        <f>VLOOKUP(C203,Лист1!$B$1:$N$98,2,0)</f>
        <v>#N/A</v>
      </c>
      <c r="D203" s="5" t="e">
        <f>VLOOKUP(C203,Лист1!$B$2:$T$292,14,0)</f>
        <v>#N/A</v>
      </c>
      <c r="F203" s="19" t="e">
        <f>VLOOKUP(C203,Лист1!$B$1:J353,3,0)</f>
        <v>#N/A</v>
      </c>
      <c r="G203" s="19" t="e">
        <f t="shared" si="29"/>
        <v>#N/A</v>
      </c>
      <c r="H203" t="e">
        <f>VLOOKUP(C203,Лист1!$B$1:$N$198,4,0)</f>
        <v>#N/A</v>
      </c>
      <c r="J203" t="s">
        <v>18</v>
      </c>
      <c r="K203">
        <v>156</v>
      </c>
      <c r="L203" t="s">
        <v>10</v>
      </c>
      <c r="M203" t="s">
        <v>19</v>
      </c>
      <c r="N203" t="s">
        <v>13</v>
      </c>
      <c r="P203">
        <v>10052</v>
      </c>
      <c r="Q203" t="e">
        <f>VLOOKUP(C203,Лист1!$B$1:$N$142,5,0)</f>
        <v>#N/A</v>
      </c>
      <c r="R203" s="4" t="e">
        <f>VLOOKUP(C203,Лист1!$B$1:$N$142,6,0)</f>
        <v>#N/A</v>
      </c>
      <c r="S203" s="4" t="e">
        <f>VLOOKUP(C203,Лист1!$B$1:$N$142,7,0)</f>
        <v>#N/A</v>
      </c>
      <c r="T203" s="4" t="e">
        <f>VLOOKUP(C203,Лист1!$B$1:$N$142,8,0)</f>
        <v>#N/A</v>
      </c>
      <c r="U203" s="10" t="e">
        <f>VLOOKUP(C203,Лист1!$B$1:$N$142,9,0)</f>
        <v>#N/A</v>
      </c>
      <c r="V203" s="10" t="e">
        <f t="shared" si="25"/>
        <v>#N/A</v>
      </c>
      <c r="W203"/>
      <c r="X203" s="1">
        <f t="shared" si="34"/>
        <v>0</v>
      </c>
      <c r="Y203" s="1" t="s">
        <v>78</v>
      </c>
      <c r="Z203" s="3" t="s">
        <v>182</v>
      </c>
      <c r="AA203" s="2" t="e">
        <f>VLOOKUP(C203,Лист1!$B$1:$N$92,10,0)</f>
        <v>#N/A</v>
      </c>
      <c r="AB203" s="2" t="e">
        <f>VLOOKUP(C203,Лист1!$B$1:$N$92,11,0)</f>
        <v>#N/A</v>
      </c>
      <c r="AC203" s="2" t="e">
        <f>VLOOKUP(C203,Лист1!$B$1:$N$92,12,0)</f>
        <v>#N/A</v>
      </c>
      <c r="AD203" s="2" t="e">
        <f>VLOOKUP(C203,Лист1!$B$1:$N$92,13,0)</f>
        <v>#N/A</v>
      </c>
      <c r="AG203" t="s">
        <v>223</v>
      </c>
      <c r="AH203" t="e">
        <f>VLOOKUP(C203,Лист1!$B$3:$P$289,15,0)</f>
        <v>#N/A</v>
      </c>
    </row>
    <row r="204" spans="1:34" hidden="1" x14ac:dyDescent="0.25">
      <c r="A204" s="2"/>
      <c r="B204" t="e">
        <f>VLOOKUP(C204,Лист1!$B$1:$N$98,2,0)</f>
        <v>#N/A</v>
      </c>
      <c r="D204" s="5" t="e">
        <f>VLOOKUP(C204,Лист1!$B$2:$T$292,14,0)</f>
        <v>#N/A</v>
      </c>
      <c r="F204" s="19" t="e">
        <f>VLOOKUP(C204,Лист1!$B$1:J354,3,0)</f>
        <v>#N/A</v>
      </c>
      <c r="G204" s="19" t="e">
        <f t="shared" si="29"/>
        <v>#N/A</v>
      </c>
      <c r="H204" t="e">
        <f>VLOOKUP(C204,Лист1!$B$1:$N$198,4,0)</f>
        <v>#N/A</v>
      </c>
      <c r="J204" t="s">
        <v>18</v>
      </c>
      <c r="K204">
        <v>156</v>
      </c>
      <c r="L204" t="s">
        <v>10</v>
      </c>
      <c r="M204" t="s">
        <v>19</v>
      </c>
      <c r="N204" t="s">
        <v>13</v>
      </c>
      <c r="P204">
        <v>10052</v>
      </c>
      <c r="Q204" t="e">
        <f>VLOOKUP(C204,Лист1!$B$1:$N$142,5,0)</f>
        <v>#N/A</v>
      </c>
      <c r="R204" s="4" t="e">
        <f>VLOOKUP(C204,Лист1!$B$1:$N$142,6,0)</f>
        <v>#N/A</v>
      </c>
      <c r="S204" s="4" t="e">
        <f>VLOOKUP(C204,Лист1!$B$1:$N$142,7,0)</f>
        <v>#N/A</v>
      </c>
      <c r="T204" s="4" t="e">
        <f>VLOOKUP(C204,Лист1!$B$1:$N$142,8,0)</f>
        <v>#N/A</v>
      </c>
      <c r="U204" s="10" t="e">
        <f>VLOOKUP(C204,Лист1!$B$1:$N$142,9,0)</f>
        <v>#N/A</v>
      </c>
      <c r="V204" s="10" t="e">
        <f t="shared" si="25"/>
        <v>#N/A</v>
      </c>
      <c r="W204"/>
      <c r="X204" s="1">
        <f t="shared" si="34"/>
        <v>0</v>
      </c>
      <c r="Y204" s="1" t="s">
        <v>78</v>
      </c>
      <c r="Z204" s="3" t="s">
        <v>182</v>
      </c>
      <c r="AA204" s="2" t="e">
        <f>VLOOKUP(C204,Лист1!$B$1:$N$92,10,0)</f>
        <v>#N/A</v>
      </c>
      <c r="AB204" s="2" t="e">
        <f>VLOOKUP(C204,Лист1!$B$1:$N$92,11,0)</f>
        <v>#N/A</v>
      </c>
      <c r="AC204" s="2" t="e">
        <f>VLOOKUP(C204,Лист1!$B$1:$N$92,12,0)</f>
        <v>#N/A</v>
      </c>
      <c r="AD204" s="2" t="e">
        <f>VLOOKUP(C204,Лист1!$B$1:$N$92,13,0)</f>
        <v>#N/A</v>
      </c>
      <c r="AG204" t="s">
        <v>223</v>
      </c>
      <c r="AH204" t="e">
        <f>VLOOKUP(C204,Лист1!$B$3:$P$289,15,0)</f>
        <v>#N/A</v>
      </c>
    </row>
    <row r="205" spans="1:34" hidden="1" x14ac:dyDescent="0.25">
      <c r="A205" s="2"/>
      <c r="B205" t="e">
        <f>VLOOKUP(C205,Лист1!$B$1:$N$98,2,0)</f>
        <v>#N/A</v>
      </c>
      <c r="D205" s="5" t="e">
        <f>VLOOKUP(C205,Лист1!$B$2:$T$292,14,0)</f>
        <v>#N/A</v>
      </c>
      <c r="F205" s="19" t="e">
        <f>VLOOKUP(C205,Лист1!$B$1:J355,3,0)</f>
        <v>#N/A</v>
      </c>
      <c r="G205" s="19" t="e">
        <f t="shared" si="29"/>
        <v>#N/A</v>
      </c>
      <c r="H205" t="e">
        <f>VLOOKUP(C205,Лист1!$B$1:$N$198,4,0)</f>
        <v>#N/A</v>
      </c>
      <c r="J205" t="s">
        <v>18</v>
      </c>
      <c r="K205">
        <v>156</v>
      </c>
      <c r="L205" t="s">
        <v>10</v>
      </c>
      <c r="M205" t="s">
        <v>19</v>
      </c>
      <c r="N205" t="s">
        <v>13</v>
      </c>
      <c r="P205">
        <v>10052</v>
      </c>
      <c r="Q205" t="e">
        <f>VLOOKUP(C205,Лист1!$B$1:$N$142,5,0)</f>
        <v>#N/A</v>
      </c>
      <c r="R205" s="4" t="e">
        <f>VLOOKUP(C205,Лист1!$B$1:$N$142,6,0)</f>
        <v>#N/A</v>
      </c>
      <c r="S205" s="4" t="e">
        <f>VLOOKUP(C205,Лист1!$B$1:$N$142,7,0)</f>
        <v>#N/A</v>
      </c>
      <c r="T205" s="4" t="e">
        <f>VLOOKUP(C205,Лист1!$B$1:$N$142,8,0)</f>
        <v>#N/A</v>
      </c>
      <c r="U205" s="10" t="e">
        <f>VLOOKUP(C205,Лист1!$B$1:$N$142,9,0)</f>
        <v>#N/A</v>
      </c>
      <c r="V205" s="10" t="e">
        <f t="shared" si="25"/>
        <v>#N/A</v>
      </c>
      <c r="W205"/>
      <c r="X205" s="1">
        <f t="shared" si="34"/>
        <v>0</v>
      </c>
      <c r="Y205" s="1" t="s">
        <v>78</v>
      </c>
      <c r="Z205" s="3" t="s">
        <v>182</v>
      </c>
      <c r="AA205" s="2" t="e">
        <f>VLOOKUP(C205,Лист1!$B$1:$N$92,10,0)</f>
        <v>#N/A</v>
      </c>
      <c r="AB205" s="2" t="e">
        <f>VLOOKUP(C205,Лист1!$B$1:$N$92,11,0)</f>
        <v>#N/A</v>
      </c>
      <c r="AC205" s="2" t="e">
        <f>VLOOKUP(C205,Лист1!$B$1:$N$92,12,0)</f>
        <v>#N/A</v>
      </c>
      <c r="AD205" s="2" t="e">
        <f>VLOOKUP(C205,Лист1!$B$1:$N$92,13,0)</f>
        <v>#N/A</v>
      </c>
      <c r="AG205" t="s">
        <v>223</v>
      </c>
      <c r="AH205" t="e">
        <f>VLOOKUP(C205,Лист1!$B$3:$P$289,15,0)</f>
        <v>#N/A</v>
      </c>
    </row>
    <row r="206" spans="1:34" hidden="1" x14ac:dyDescent="0.25">
      <c r="A206" s="2"/>
      <c r="B206" t="e">
        <f>VLOOKUP(C206,Лист1!$B$1:$N$98,2,0)</f>
        <v>#N/A</v>
      </c>
      <c r="D206" s="5" t="e">
        <f>VLOOKUP(C206,Лист1!$B$2:$T$292,14,0)</f>
        <v>#N/A</v>
      </c>
      <c r="F206" s="19" t="e">
        <f>VLOOKUP(C206,Лист1!$B$1:J356,3,0)</f>
        <v>#N/A</v>
      </c>
      <c r="G206" s="19" t="e">
        <f t="shared" si="29"/>
        <v>#N/A</v>
      </c>
      <c r="H206" t="e">
        <f>VLOOKUP(C206,Лист1!$B$1:$N$198,4,0)</f>
        <v>#N/A</v>
      </c>
      <c r="J206" t="s">
        <v>18</v>
      </c>
      <c r="K206">
        <v>156</v>
      </c>
      <c r="L206" t="s">
        <v>10</v>
      </c>
      <c r="M206" t="s">
        <v>19</v>
      </c>
      <c r="N206" t="s">
        <v>13</v>
      </c>
      <c r="P206">
        <v>10052</v>
      </c>
      <c r="Q206" t="e">
        <f>VLOOKUP(C206,Лист1!$B$1:$N$142,5,0)</f>
        <v>#N/A</v>
      </c>
      <c r="R206" s="4" t="e">
        <f>VLOOKUP(C206,Лист1!$B$1:$N$142,6,0)</f>
        <v>#N/A</v>
      </c>
      <c r="S206" s="4" t="e">
        <f>VLOOKUP(C206,Лист1!$B$1:$N$142,7,0)</f>
        <v>#N/A</v>
      </c>
      <c r="T206" s="4" t="e">
        <f>VLOOKUP(C206,Лист1!$B$1:$N$142,8,0)</f>
        <v>#N/A</v>
      </c>
      <c r="U206" s="10" t="e">
        <f>VLOOKUP(C206,Лист1!$B$1:$N$142,9,0)</f>
        <v>#N/A</v>
      </c>
      <c r="V206" s="10" t="e">
        <f t="shared" si="25"/>
        <v>#N/A</v>
      </c>
      <c r="W206"/>
      <c r="X206" s="1">
        <f t="shared" si="34"/>
        <v>0</v>
      </c>
      <c r="Y206" s="1" t="s">
        <v>78</v>
      </c>
      <c r="Z206" s="3" t="s">
        <v>182</v>
      </c>
      <c r="AA206" s="2" t="e">
        <f>VLOOKUP(C206,Лист1!$B$1:$N$92,10,0)</f>
        <v>#N/A</v>
      </c>
      <c r="AB206" s="2" t="e">
        <f>VLOOKUP(C206,Лист1!$B$1:$N$92,11,0)</f>
        <v>#N/A</v>
      </c>
      <c r="AC206" s="2" t="e">
        <f>VLOOKUP(C206,Лист1!$B$1:$N$92,12,0)</f>
        <v>#N/A</v>
      </c>
      <c r="AD206" s="2" t="e">
        <f>VLOOKUP(C206,Лист1!$B$1:$N$92,13,0)</f>
        <v>#N/A</v>
      </c>
      <c r="AG206" t="s">
        <v>223</v>
      </c>
      <c r="AH206" t="e">
        <f>VLOOKUP(C206,Лист1!$B$3:$P$289,15,0)</f>
        <v>#N/A</v>
      </c>
    </row>
    <row r="207" spans="1:34" hidden="1" x14ac:dyDescent="0.25">
      <c r="A207" s="2"/>
      <c r="B207" t="e">
        <f>VLOOKUP(C207,Лист1!$B$1:$N$98,2,0)</f>
        <v>#N/A</v>
      </c>
      <c r="D207" s="5" t="e">
        <f>VLOOKUP(C207,Лист1!$B$2:$T$292,14,0)</f>
        <v>#N/A</v>
      </c>
      <c r="F207" s="19" t="e">
        <f>VLOOKUP(C207,Лист1!$B$1:J357,3,0)</f>
        <v>#N/A</v>
      </c>
      <c r="G207" s="19" t="e">
        <f t="shared" si="29"/>
        <v>#N/A</v>
      </c>
      <c r="H207" t="e">
        <f>VLOOKUP(C207,Лист1!$B$1:$N$198,4,0)</f>
        <v>#N/A</v>
      </c>
      <c r="J207" t="s">
        <v>18</v>
      </c>
      <c r="K207">
        <v>156</v>
      </c>
      <c r="L207" t="s">
        <v>10</v>
      </c>
      <c r="M207" t="s">
        <v>19</v>
      </c>
      <c r="N207" t="s">
        <v>13</v>
      </c>
      <c r="P207">
        <v>10052</v>
      </c>
      <c r="Q207" t="e">
        <f>VLOOKUP(C207,Лист1!$B$1:$N$142,5,0)</f>
        <v>#N/A</v>
      </c>
      <c r="R207" s="4" t="e">
        <f>VLOOKUP(C207,Лист1!$B$1:$N$142,6,0)</f>
        <v>#N/A</v>
      </c>
      <c r="S207" s="4" t="e">
        <f>VLOOKUP(C207,Лист1!$B$1:$N$142,7,0)</f>
        <v>#N/A</v>
      </c>
      <c r="T207" s="4" t="e">
        <f>VLOOKUP(C207,Лист1!$B$1:$N$142,8,0)</f>
        <v>#N/A</v>
      </c>
      <c r="U207" s="10" t="e">
        <f>VLOOKUP(C207,Лист1!$B$1:$N$142,9,0)</f>
        <v>#N/A</v>
      </c>
      <c r="V207" s="10" t="e">
        <f t="shared" si="25"/>
        <v>#N/A</v>
      </c>
      <c r="W207"/>
      <c r="X207" s="1">
        <f t="shared" si="34"/>
        <v>0</v>
      </c>
      <c r="Y207" s="1" t="s">
        <v>78</v>
      </c>
      <c r="Z207" s="3" t="s">
        <v>182</v>
      </c>
      <c r="AA207" s="2" t="e">
        <f>VLOOKUP(C207,Лист1!$B$1:$N$92,10,0)</f>
        <v>#N/A</v>
      </c>
      <c r="AB207" s="2" t="e">
        <f>VLOOKUP(C207,Лист1!$B$1:$N$92,11,0)</f>
        <v>#N/A</v>
      </c>
      <c r="AC207" s="2" t="e">
        <f>VLOOKUP(C207,Лист1!$B$1:$N$92,12,0)</f>
        <v>#N/A</v>
      </c>
      <c r="AD207" s="2" t="e">
        <f>VLOOKUP(C207,Лист1!$B$1:$N$92,13,0)</f>
        <v>#N/A</v>
      </c>
      <c r="AG207" t="s">
        <v>223</v>
      </c>
      <c r="AH207" t="e">
        <f>VLOOKUP(C207,Лист1!$B$3:$P$289,15,0)</f>
        <v>#N/A</v>
      </c>
    </row>
    <row r="208" spans="1:34" hidden="1" x14ac:dyDescent="0.25">
      <c r="A208" s="2"/>
      <c r="B208" t="e">
        <f>VLOOKUP(C208,Лист1!$B$1:$N$98,2,0)</f>
        <v>#N/A</v>
      </c>
      <c r="D208" s="5" t="e">
        <f>VLOOKUP(C208,Лист1!$B$2:$T$292,14,0)</f>
        <v>#N/A</v>
      </c>
      <c r="F208" s="19" t="e">
        <f>VLOOKUP(C208,Лист1!$B$1:J358,3,0)</f>
        <v>#N/A</v>
      </c>
      <c r="G208" s="19" t="e">
        <f t="shared" si="29"/>
        <v>#N/A</v>
      </c>
      <c r="H208" t="e">
        <f>VLOOKUP(C208,Лист1!$B$1:$N$198,4,0)</f>
        <v>#N/A</v>
      </c>
      <c r="J208" t="s">
        <v>18</v>
      </c>
      <c r="K208">
        <v>156</v>
      </c>
      <c r="L208" t="s">
        <v>10</v>
      </c>
      <c r="M208" t="s">
        <v>19</v>
      </c>
      <c r="N208" t="s">
        <v>13</v>
      </c>
      <c r="P208">
        <v>10052</v>
      </c>
      <c r="Q208" t="e">
        <f>VLOOKUP(C208,Лист1!$B$1:$N$142,5,0)</f>
        <v>#N/A</v>
      </c>
      <c r="R208" s="4" t="e">
        <f>VLOOKUP(C208,Лист1!$B$1:$N$142,6,0)</f>
        <v>#N/A</v>
      </c>
      <c r="S208" s="4" t="e">
        <f>VLOOKUP(C208,Лист1!$B$1:$N$142,7,0)</f>
        <v>#N/A</v>
      </c>
      <c r="T208" s="4" t="e">
        <f>VLOOKUP(C208,Лист1!$B$1:$N$142,8,0)</f>
        <v>#N/A</v>
      </c>
      <c r="U208" s="10" t="e">
        <f>VLOOKUP(C208,Лист1!$B$1:$N$142,9,0)</f>
        <v>#N/A</v>
      </c>
      <c r="V208" s="10" t="e">
        <f t="shared" si="25"/>
        <v>#N/A</v>
      </c>
      <c r="W208"/>
      <c r="X208" s="1">
        <f t="shared" si="34"/>
        <v>0</v>
      </c>
      <c r="Y208" s="1" t="s">
        <v>78</v>
      </c>
      <c r="Z208" s="3" t="s">
        <v>182</v>
      </c>
      <c r="AA208" s="2" t="e">
        <f>VLOOKUP(C208,Лист1!$B$1:$N$92,10,0)</f>
        <v>#N/A</v>
      </c>
      <c r="AB208" s="2" t="e">
        <f>VLOOKUP(C208,Лист1!$B$1:$N$92,11,0)</f>
        <v>#N/A</v>
      </c>
      <c r="AC208" s="2" t="e">
        <f>VLOOKUP(C208,Лист1!$B$1:$N$92,12,0)</f>
        <v>#N/A</v>
      </c>
      <c r="AD208" s="2" t="e">
        <f>VLOOKUP(C208,Лист1!$B$1:$N$92,13,0)</f>
        <v>#N/A</v>
      </c>
      <c r="AH208" t="e">
        <f>VLOOKUP(C208,Лист1!$B$3:$P$289,15,0)</f>
        <v>#N/A</v>
      </c>
    </row>
    <row r="209" spans="1:34" hidden="1" x14ac:dyDescent="0.25">
      <c r="A209" s="2"/>
      <c r="B209" t="e">
        <f>VLOOKUP(C209,Лист1!$B$1:$N$98,2,0)</f>
        <v>#N/A</v>
      </c>
      <c r="D209" s="5" t="e">
        <f>VLOOKUP(C209,Лист1!$B$2:$T$292,14,0)</f>
        <v>#N/A</v>
      </c>
      <c r="F209" s="19" t="e">
        <f>VLOOKUP(C209,Лист1!$B$1:J359,3,0)</f>
        <v>#N/A</v>
      </c>
      <c r="G209" s="19" t="e">
        <f t="shared" si="29"/>
        <v>#N/A</v>
      </c>
      <c r="H209" t="e">
        <f>VLOOKUP(C209,Лист1!$B$1:$N$198,4,0)</f>
        <v>#N/A</v>
      </c>
      <c r="J209" t="s">
        <v>18</v>
      </c>
      <c r="K209">
        <v>156</v>
      </c>
      <c r="L209" t="s">
        <v>10</v>
      </c>
      <c r="M209" t="s">
        <v>19</v>
      </c>
      <c r="N209" t="s">
        <v>13</v>
      </c>
      <c r="P209">
        <v>10052</v>
      </c>
      <c r="Q209" t="e">
        <f>VLOOKUP(C209,Лист1!$B$1:$N$142,5,0)</f>
        <v>#N/A</v>
      </c>
      <c r="R209" s="4" t="e">
        <f>VLOOKUP(C209,Лист1!$B$1:$N$142,6,0)</f>
        <v>#N/A</v>
      </c>
      <c r="S209" s="4" t="e">
        <f>VLOOKUP(C209,Лист1!$B$1:$N$142,7,0)</f>
        <v>#N/A</v>
      </c>
      <c r="T209" s="4" t="e">
        <f>VLOOKUP(C209,Лист1!$B$1:$N$142,8,0)</f>
        <v>#N/A</v>
      </c>
      <c r="U209" s="10" t="e">
        <f>VLOOKUP(C209,Лист1!$B$1:$N$142,9,0)</f>
        <v>#N/A</v>
      </c>
      <c r="V209" s="10" t="e">
        <f t="shared" si="25"/>
        <v>#N/A</v>
      </c>
      <c r="W209"/>
      <c r="X209" s="1">
        <f t="shared" si="34"/>
        <v>0</v>
      </c>
      <c r="Y209" s="1" t="s">
        <v>78</v>
      </c>
      <c r="Z209" s="3" t="s">
        <v>182</v>
      </c>
      <c r="AA209" s="2" t="e">
        <f>VLOOKUP(C209,Лист1!$B$1:$N$92,10,0)</f>
        <v>#N/A</v>
      </c>
      <c r="AB209" s="2" t="e">
        <f>VLOOKUP(C209,Лист1!$B$1:$N$92,11,0)</f>
        <v>#N/A</v>
      </c>
      <c r="AC209" s="2" t="e">
        <f>VLOOKUP(C209,Лист1!$B$1:$N$92,12,0)</f>
        <v>#N/A</v>
      </c>
      <c r="AD209" s="2" t="e">
        <f>VLOOKUP(C209,Лист1!$B$1:$N$92,13,0)</f>
        <v>#N/A</v>
      </c>
      <c r="AH209" t="e">
        <f>VLOOKUP(C209,Лист1!$B$3:$P$289,15,0)</f>
        <v>#N/A</v>
      </c>
    </row>
    <row r="210" spans="1:34" hidden="1" x14ac:dyDescent="0.25">
      <c r="A210" s="2"/>
      <c r="B210" t="e">
        <f>VLOOKUP(C210,Лист1!$B$1:$N$98,2,0)</f>
        <v>#N/A</v>
      </c>
      <c r="D210" s="5" t="e">
        <f>VLOOKUP(C210,Лист1!$B$2:$T$292,14,0)</f>
        <v>#N/A</v>
      </c>
      <c r="F210" s="19" t="e">
        <f>VLOOKUP(C210,Лист1!$B$1:J360,3,0)</f>
        <v>#N/A</v>
      </c>
      <c r="G210" s="19" t="e">
        <f t="shared" si="29"/>
        <v>#N/A</v>
      </c>
      <c r="H210" t="e">
        <f>VLOOKUP(C210,Лист1!$B$1:$N$198,4,0)</f>
        <v>#N/A</v>
      </c>
      <c r="J210" t="s">
        <v>18</v>
      </c>
      <c r="K210">
        <v>156</v>
      </c>
      <c r="L210" t="s">
        <v>10</v>
      </c>
      <c r="M210" t="s">
        <v>19</v>
      </c>
      <c r="N210" t="s">
        <v>13</v>
      </c>
      <c r="P210">
        <v>10052</v>
      </c>
      <c r="Q210" t="e">
        <f>VLOOKUP(C210,Лист1!$B$1:$N$142,5,0)</f>
        <v>#N/A</v>
      </c>
      <c r="R210" s="4" t="e">
        <f>VLOOKUP(C210,Лист1!$B$1:$N$142,6,0)</f>
        <v>#N/A</v>
      </c>
      <c r="S210" s="4" t="e">
        <f>VLOOKUP(C210,Лист1!$B$1:$N$142,7,0)</f>
        <v>#N/A</v>
      </c>
      <c r="T210" s="4" t="e">
        <f>VLOOKUP(C210,Лист1!$B$1:$N$142,8,0)</f>
        <v>#N/A</v>
      </c>
      <c r="U210" s="10" t="e">
        <f>VLOOKUP(C210,Лист1!$B$1:$N$142,9,0)</f>
        <v>#N/A</v>
      </c>
      <c r="V210" s="10" t="e">
        <f t="shared" si="25"/>
        <v>#N/A</v>
      </c>
      <c r="W210"/>
      <c r="X210" s="1">
        <f t="shared" si="34"/>
        <v>0</v>
      </c>
      <c r="Y210" s="1" t="s">
        <v>78</v>
      </c>
      <c r="Z210" s="3" t="s">
        <v>182</v>
      </c>
      <c r="AA210" s="2" t="e">
        <f>VLOOKUP(C210,Лист1!$B$1:$N$92,10,0)</f>
        <v>#N/A</v>
      </c>
      <c r="AB210" s="2" t="e">
        <f>VLOOKUP(C210,Лист1!$B$1:$N$92,11,0)</f>
        <v>#N/A</v>
      </c>
      <c r="AC210" s="2" t="e">
        <f>VLOOKUP(C210,Лист1!$B$1:$N$92,12,0)</f>
        <v>#N/A</v>
      </c>
      <c r="AD210" s="2" t="e">
        <f>VLOOKUP(C210,Лист1!$B$1:$N$92,13,0)</f>
        <v>#N/A</v>
      </c>
      <c r="AH210" t="e">
        <f>VLOOKUP(C210,Лист1!$B$3:$P$289,15,0)</f>
        <v>#N/A</v>
      </c>
    </row>
    <row r="211" spans="1:34" hidden="1" x14ac:dyDescent="0.25">
      <c r="A211" s="2"/>
      <c r="B211" t="e">
        <f>VLOOKUP(C211,Лист1!$B$1:$N$98,2,0)</f>
        <v>#N/A</v>
      </c>
      <c r="D211" s="5" t="e">
        <f>VLOOKUP(C211,Лист1!$B$2:$T$292,14,0)</f>
        <v>#N/A</v>
      </c>
      <c r="F211" s="19" t="e">
        <f>VLOOKUP(C211,Лист1!$B$1:J361,3,0)</f>
        <v>#N/A</v>
      </c>
      <c r="G211" s="19" t="e">
        <f t="shared" si="29"/>
        <v>#N/A</v>
      </c>
      <c r="H211" t="e">
        <f>VLOOKUP(C211,Лист1!$B$1:$N$198,4,0)</f>
        <v>#N/A</v>
      </c>
      <c r="J211" t="s">
        <v>18</v>
      </c>
      <c r="K211">
        <v>156</v>
      </c>
      <c r="L211" t="s">
        <v>10</v>
      </c>
      <c r="M211" t="s">
        <v>19</v>
      </c>
      <c r="N211" t="s">
        <v>13</v>
      </c>
      <c r="P211">
        <v>10052</v>
      </c>
      <c r="Q211" t="e">
        <f>VLOOKUP(C211,Лист1!$B$1:$N$142,5,0)</f>
        <v>#N/A</v>
      </c>
      <c r="R211" s="4" t="e">
        <f>VLOOKUP(C211,Лист1!$B$1:$N$142,6,0)</f>
        <v>#N/A</v>
      </c>
      <c r="S211" s="4" t="e">
        <f>VLOOKUP(C211,Лист1!$B$1:$N$142,7,0)</f>
        <v>#N/A</v>
      </c>
      <c r="T211" s="4" t="e">
        <f>VLOOKUP(C211,Лист1!$B$1:$N$142,8,0)</f>
        <v>#N/A</v>
      </c>
      <c r="U211" s="10" t="e">
        <f>VLOOKUP(C211,Лист1!$B$1:$N$142,9,0)</f>
        <v>#N/A</v>
      </c>
      <c r="V211" s="10" t="e">
        <f t="shared" si="25"/>
        <v>#N/A</v>
      </c>
      <c r="W211"/>
      <c r="X211" s="1">
        <f t="shared" si="34"/>
        <v>0</v>
      </c>
      <c r="Y211" s="1" t="s">
        <v>78</v>
      </c>
      <c r="Z211" s="3" t="s">
        <v>182</v>
      </c>
      <c r="AA211" s="2" t="e">
        <f>VLOOKUP(C211,Лист1!$B$1:$N$92,10,0)</f>
        <v>#N/A</v>
      </c>
      <c r="AB211" s="2" t="e">
        <f>VLOOKUP(C211,Лист1!$B$1:$N$92,11,0)</f>
        <v>#N/A</v>
      </c>
      <c r="AC211" s="2" t="e">
        <f>VLOOKUP(C211,Лист1!$B$1:$N$92,12,0)</f>
        <v>#N/A</v>
      </c>
      <c r="AD211" s="2" t="e">
        <f>VLOOKUP(C211,Лист1!$B$1:$N$92,13,0)</f>
        <v>#N/A</v>
      </c>
      <c r="AH211" t="e">
        <f>VLOOKUP(C211,Лист1!$B$3:$P$289,15,0)</f>
        <v>#N/A</v>
      </c>
    </row>
    <row r="212" spans="1:34" hidden="1" x14ac:dyDescent="0.25">
      <c r="A212" s="2"/>
      <c r="B212" t="e">
        <f>VLOOKUP(C212,Лист1!$B$1:$N$98,2,0)</f>
        <v>#N/A</v>
      </c>
      <c r="D212" s="5" t="e">
        <f>VLOOKUP(C212,Лист1!$B$2:$T$292,14,0)</f>
        <v>#N/A</v>
      </c>
      <c r="F212" s="19" t="e">
        <f>VLOOKUP(C212,Лист1!$B$1:J362,3,0)</f>
        <v>#N/A</v>
      </c>
      <c r="G212" s="19" t="e">
        <f t="shared" si="29"/>
        <v>#N/A</v>
      </c>
      <c r="H212" t="e">
        <f>VLOOKUP(C212,Лист1!$B$1:$N$198,4,0)</f>
        <v>#N/A</v>
      </c>
      <c r="J212" t="s">
        <v>18</v>
      </c>
      <c r="K212">
        <v>156</v>
      </c>
      <c r="L212" t="s">
        <v>10</v>
      </c>
      <c r="M212" t="s">
        <v>19</v>
      </c>
      <c r="N212" t="s">
        <v>13</v>
      </c>
      <c r="P212">
        <v>10052</v>
      </c>
      <c r="Q212" t="e">
        <f>VLOOKUP(C212,Лист1!$B$1:$N$142,5,0)</f>
        <v>#N/A</v>
      </c>
      <c r="R212" s="4" t="e">
        <f>VLOOKUP(C212,Лист1!$B$1:$N$142,6,0)</f>
        <v>#N/A</v>
      </c>
      <c r="S212" s="4" t="e">
        <f>VLOOKUP(C212,Лист1!$B$1:$N$142,7,0)</f>
        <v>#N/A</v>
      </c>
      <c r="T212" s="4" t="e">
        <f>VLOOKUP(C212,Лист1!$B$1:$N$142,8,0)</f>
        <v>#N/A</v>
      </c>
      <c r="U212" s="10" t="e">
        <f>VLOOKUP(C212,Лист1!$B$1:$N$142,9,0)</f>
        <v>#N/A</v>
      </c>
      <c r="V212" s="10" t="e">
        <f t="shared" si="25"/>
        <v>#N/A</v>
      </c>
      <c r="W212"/>
      <c r="X212" s="1">
        <f t="shared" si="34"/>
        <v>0</v>
      </c>
      <c r="Y212" s="1" t="s">
        <v>78</v>
      </c>
      <c r="Z212" s="3" t="s">
        <v>182</v>
      </c>
      <c r="AA212" s="2" t="e">
        <f>VLOOKUP(C212,Лист1!$B$1:$N$92,10,0)</f>
        <v>#N/A</v>
      </c>
      <c r="AB212" s="2" t="e">
        <f>VLOOKUP(C212,Лист1!$B$1:$N$92,11,0)</f>
        <v>#N/A</v>
      </c>
      <c r="AC212" s="2" t="e">
        <f>VLOOKUP(C212,Лист1!$B$1:$N$92,12,0)</f>
        <v>#N/A</v>
      </c>
      <c r="AD212" s="2" t="e">
        <f>VLOOKUP(C212,Лист1!$B$1:$N$92,13,0)</f>
        <v>#N/A</v>
      </c>
      <c r="AH212" t="e">
        <f>VLOOKUP(C212,Лист1!$B$3:$P$289,15,0)</f>
        <v>#N/A</v>
      </c>
    </row>
    <row r="213" spans="1:34" hidden="1" x14ac:dyDescent="0.25">
      <c r="A213" s="2"/>
      <c r="B213" t="e">
        <f>VLOOKUP(C213,Лист1!$B$1:$N$98,2,0)</f>
        <v>#N/A</v>
      </c>
      <c r="D213" s="5" t="e">
        <f>VLOOKUP(C213,Лист1!$B$2:$T$292,14,0)</f>
        <v>#N/A</v>
      </c>
      <c r="F213" s="19" t="e">
        <f>VLOOKUP(C213,Лист1!$B$1:J363,3,0)</f>
        <v>#N/A</v>
      </c>
      <c r="G213" s="19" t="e">
        <f t="shared" si="29"/>
        <v>#N/A</v>
      </c>
      <c r="H213" t="e">
        <f>VLOOKUP(C213,Лист1!$B$1:$N$198,4,0)</f>
        <v>#N/A</v>
      </c>
      <c r="J213" t="s">
        <v>18</v>
      </c>
      <c r="K213">
        <v>156</v>
      </c>
      <c r="L213" t="s">
        <v>10</v>
      </c>
      <c r="M213" t="s">
        <v>19</v>
      </c>
      <c r="N213" t="s">
        <v>13</v>
      </c>
      <c r="P213">
        <v>10052</v>
      </c>
      <c r="Q213" t="e">
        <f>VLOOKUP(C213,Лист1!$B$1:$N$142,5,0)</f>
        <v>#N/A</v>
      </c>
      <c r="R213" s="4" t="e">
        <f>VLOOKUP(C213,Лист1!$B$1:$N$142,6,0)</f>
        <v>#N/A</v>
      </c>
      <c r="S213" s="4" t="e">
        <f>VLOOKUP(C213,Лист1!$B$1:$N$142,7,0)</f>
        <v>#N/A</v>
      </c>
      <c r="T213" s="4" t="e">
        <f>VLOOKUP(C213,Лист1!$B$1:$N$142,8,0)</f>
        <v>#N/A</v>
      </c>
      <c r="U213" s="10" t="e">
        <f>VLOOKUP(C213,Лист1!$B$1:$N$142,9,0)</f>
        <v>#N/A</v>
      </c>
      <c r="V213" s="10" t="e">
        <f t="shared" si="25"/>
        <v>#N/A</v>
      </c>
      <c r="W213"/>
      <c r="X213" s="1">
        <f t="shared" si="34"/>
        <v>0</v>
      </c>
      <c r="Y213" s="1" t="s">
        <v>78</v>
      </c>
      <c r="Z213" s="3" t="s">
        <v>182</v>
      </c>
      <c r="AA213" s="2" t="e">
        <f>VLOOKUP(C213,Лист1!$B$1:$N$92,10,0)</f>
        <v>#N/A</v>
      </c>
      <c r="AB213" s="2" t="e">
        <f>VLOOKUP(C213,Лист1!$B$1:$N$92,11,0)</f>
        <v>#N/A</v>
      </c>
      <c r="AC213" s="2" t="e">
        <f>VLOOKUP(C213,Лист1!$B$1:$N$92,12,0)</f>
        <v>#N/A</v>
      </c>
      <c r="AD213" s="2" t="e">
        <f>VLOOKUP(C213,Лист1!$B$1:$N$92,13,0)</f>
        <v>#N/A</v>
      </c>
      <c r="AH213" t="e">
        <f>VLOOKUP(C213,Лист1!$B$3:$P$289,15,0)</f>
        <v>#N/A</v>
      </c>
    </row>
    <row r="214" spans="1:34" hidden="1" x14ac:dyDescent="0.25">
      <c r="A214" s="2"/>
      <c r="B214" t="e">
        <f>VLOOKUP(C214,Лист1!$B$1:$N$98,2,0)</f>
        <v>#N/A</v>
      </c>
      <c r="D214" s="5" t="e">
        <f>VLOOKUP(C214,Лист1!$B$2:$T$292,14,0)</f>
        <v>#N/A</v>
      </c>
      <c r="F214" s="19" t="e">
        <f>VLOOKUP(C214,Лист1!$B$1:J364,3,0)</f>
        <v>#N/A</v>
      </c>
      <c r="G214" s="19" t="e">
        <f t="shared" si="29"/>
        <v>#N/A</v>
      </c>
      <c r="H214" t="e">
        <f>VLOOKUP(C214,Лист1!$B$1:$N$198,4,0)</f>
        <v>#N/A</v>
      </c>
      <c r="J214" t="s">
        <v>18</v>
      </c>
      <c r="K214">
        <v>156</v>
      </c>
      <c r="L214" t="s">
        <v>10</v>
      </c>
      <c r="M214" t="s">
        <v>19</v>
      </c>
      <c r="N214" t="s">
        <v>13</v>
      </c>
      <c r="P214">
        <v>10052</v>
      </c>
      <c r="Q214" t="e">
        <f>VLOOKUP(C214,Лист1!$B$1:$N$142,5,0)</f>
        <v>#N/A</v>
      </c>
      <c r="R214" s="4" t="e">
        <f>VLOOKUP(C214,Лист1!$B$1:$N$142,6,0)</f>
        <v>#N/A</v>
      </c>
      <c r="S214" s="4" t="e">
        <f>VLOOKUP(C214,Лист1!$B$1:$N$142,7,0)</f>
        <v>#N/A</v>
      </c>
      <c r="T214" s="4" t="e">
        <f>VLOOKUP(C214,Лист1!$B$1:$N$142,8,0)</f>
        <v>#N/A</v>
      </c>
      <c r="U214" s="10" t="e">
        <f>VLOOKUP(C214,Лист1!$B$1:$N$142,9,0)</f>
        <v>#N/A</v>
      </c>
      <c r="V214" s="10" t="e">
        <f t="shared" si="25"/>
        <v>#N/A</v>
      </c>
      <c r="W214"/>
      <c r="X214" s="1">
        <f t="shared" si="34"/>
        <v>0</v>
      </c>
      <c r="Y214" s="1" t="s">
        <v>78</v>
      </c>
      <c r="Z214" s="3" t="s">
        <v>182</v>
      </c>
      <c r="AA214" s="2" t="e">
        <f>VLOOKUP(C214,Лист1!$B$1:$N$92,10,0)</f>
        <v>#N/A</v>
      </c>
      <c r="AB214" s="2" t="e">
        <f>VLOOKUP(C214,Лист1!$B$1:$N$92,11,0)</f>
        <v>#N/A</v>
      </c>
      <c r="AC214" s="2" t="e">
        <f>VLOOKUP(C214,Лист1!$B$1:$N$92,12,0)</f>
        <v>#N/A</v>
      </c>
      <c r="AD214" s="2" t="e">
        <f>VLOOKUP(C214,Лист1!$B$1:$N$92,13,0)</f>
        <v>#N/A</v>
      </c>
      <c r="AH214" t="e">
        <f>VLOOKUP(C214,Лист1!$B$3:$P$289,15,0)</f>
        <v>#N/A</v>
      </c>
    </row>
    <row r="215" spans="1:34" hidden="1" x14ac:dyDescent="0.25">
      <c r="A215" s="2"/>
      <c r="B215" t="e">
        <f>VLOOKUP(C215,Лист1!$B$1:$N$98,2,0)</f>
        <v>#N/A</v>
      </c>
      <c r="D215" s="5" t="e">
        <f>VLOOKUP(C215,Лист1!$B$2:$T$292,14,0)</f>
        <v>#N/A</v>
      </c>
      <c r="F215" s="19" t="e">
        <f>VLOOKUP(C215,Лист1!$B$1:J365,3,0)</f>
        <v>#N/A</v>
      </c>
      <c r="G215" s="19" t="e">
        <f t="shared" si="29"/>
        <v>#N/A</v>
      </c>
      <c r="H215" t="e">
        <f>VLOOKUP(C215,Лист1!$B$1:$N$198,4,0)</f>
        <v>#N/A</v>
      </c>
      <c r="J215" t="s">
        <v>18</v>
      </c>
      <c r="K215">
        <v>156</v>
      </c>
      <c r="L215" t="s">
        <v>10</v>
      </c>
      <c r="M215" t="s">
        <v>19</v>
      </c>
      <c r="N215" t="s">
        <v>13</v>
      </c>
      <c r="P215">
        <v>10052</v>
      </c>
      <c r="Q215" t="e">
        <f>VLOOKUP(C215,Лист1!$B$1:$N$142,5,0)</f>
        <v>#N/A</v>
      </c>
      <c r="R215" s="4" t="e">
        <f>VLOOKUP(C215,Лист1!$B$1:$N$142,6,0)</f>
        <v>#N/A</v>
      </c>
      <c r="S215" s="4" t="e">
        <f>VLOOKUP(C215,Лист1!$B$1:$N$142,7,0)</f>
        <v>#N/A</v>
      </c>
      <c r="T215" s="4" t="e">
        <f>VLOOKUP(C215,Лист1!$B$1:$N$142,8,0)</f>
        <v>#N/A</v>
      </c>
      <c r="U215" s="10" t="e">
        <f>VLOOKUP(C215,Лист1!$B$1:$N$142,9,0)</f>
        <v>#N/A</v>
      </c>
      <c r="V215" s="10" t="e">
        <f t="shared" si="25"/>
        <v>#N/A</v>
      </c>
      <c r="W215"/>
      <c r="X215" s="1">
        <f t="shared" si="34"/>
        <v>0</v>
      </c>
      <c r="Y215" s="1" t="s">
        <v>78</v>
      </c>
      <c r="Z215" s="3" t="s">
        <v>182</v>
      </c>
      <c r="AA215" s="2" t="e">
        <f>VLOOKUP(C215,Лист1!$B$1:$N$92,10,0)</f>
        <v>#N/A</v>
      </c>
      <c r="AB215" s="2" t="e">
        <f>VLOOKUP(C215,Лист1!$B$1:$N$92,11,0)</f>
        <v>#N/A</v>
      </c>
      <c r="AC215" s="2" t="e">
        <f>VLOOKUP(C215,Лист1!$B$1:$N$92,12,0)</f>
        <v>#N/A</v>
      </c>
      <c r="AD215" s="2" t="e">
        <f>VLOOKUP(C215,Лист1!$B$1:$N$92,13,0)</f>
        <v>#N/A</v>
      </c>
      <c r="AH215" t="e">
        <f>VLOOKUP(C215,Лист1!$B$3:$P$289,15,0)</f>
        <v>#N/A</v>
      </c>
    </row>
    <row r="216" spans="1:34" hidden="1" x14ac:dyDescent="0.25">
      <c r="A216" s="2"/>
      <c r="B216" t="e">
        <f>VLOOKUP(C216,Лист1!$B$1:$N$98,2,0)</f>
        <v>#N/A</v>
      </c>
      <c r="D216" s="5" t="e">
        <f>VLOOKUP(C216,Лист1!$B$2:$T$292,14,0)</f>
        <v>#N/A</v>
      </c>
      <c r="F216" s="19" t="e">
        <f>VLOOKUP(C216,Лист1!$B$1:J366,3,0)</f>
        <v>#N/A</v>
      </c>
      <c r="G216" s="19" t="e">
        <f t="shared" si="29"/>
        <v>#N/A</v>
      </c>
      <c r="H216" t="e">
        <f>VLOOKUP(C216,Лист1!$B$1:$N$198,4,0)</f>
        <v>#N/A</v>
      </c>
      <c r="J216" t="s">
        <v>18</v>
      </c>
      <c r="K216">
        <v>156</v>
      </c>
      <c r="L216" t="s">
        <v>10</v>
      </c>
      <c r="M216" t="s">
        <v>19</v>
      </c>
      <c r="N216" t="s">
        <v>13</v>
      </c>
      <c r="P216">
        <v>10052</v>
      </c>
      <c r="U216" s="4"/>
      <c r="V216" s="4"/>
      <c r="W216"/>
      <c r="Y216" s="1" t="s">
        <v>78</v>
      </c>
      <c r="Z216" s="3" t="s">
        <v>182</v>
      </c>
      <c r="AA216" s="2" t="e">
        <f>VLOOKUP(C216,Лист1!$B$1:$N$92,10,0)</f>
        <v>#N/A</v>
      </c>
      <c r="AB216" s="2" t="e">
        <f>VLOOKUP(C216,Лист1!$B$1:$N$92,11,0)</f>
        <v>#N/A</v>
      </c>
      <c r="AC216" s="2" t="e">
        <f>VLOOKUP(C216,Лист1!$B$1:$N$92,12,0)</f>
        <v>#N/A</v>
      </c>
      <c r="AD216" s="2" t="e">
        <f>VLOOKUP(C216,Лист1!$B$1:$N$92,13,0)</f>
        <v>#N/A</v>
      </c>
      <c r="AH216" t="e">
        <f>VLOOKUP(C216,Лист1!$B$3:$P$289,15,0)</f>
        <v>#N/A</v>
      </c>
    </row>
    <row r="217" spans="1:34" hidden="1" x14ac:dyDescent="0.25">
      <c r="A217" s="2"/>
      <c r="B217" t="e">
        <f>VLOOKUP(C217,Лист1!$B$1:$N$98,2,0)</f>
        <v>#N/A</v>
      </c>
      <c r="D217" s="5" t="e">
        <f>VLOOKUP(C217,Лист1!$B$2:$T$292,14,0)</f>
        <v>#N/A</v>
      </c>
      <c r="F217" s="19" t="e">
        <f>VLOOKUP(C217,Лист1!$B$1:J367,3,0)</f>
        <v>#N/A</v>
      </c>
      <c r="G217" s="19" t="e">
        <f t="shared" si="29"/>
        <v>#N/A</v>
      </c>
      <c r="H217" t="e">
        <f>VLOOKUP(C217,Лист1!$B$1:$N$198,4,0)</f>
        <v>#N/A</v>
      </c>
      <c r="J217" t="s">
        <v>18</v>
      </c>
      <c r="K217">
        <v>156</v>
      </c>
      <c r="L217" t="s">
        <v>10</v>
      </c>
      <c r="M217" t="s">
        <v>19</v>
      </c>
      <c r="N217" t="s">
        <v>13</v>
      </c>
      <c r="P217">
        <v>10052</v>
      </c>
      <c r="U217" s="4"/>
      <c r="V217" s="4"/>
      <c r="W217"/>
      <c r="Y217" s="1" t="s">
        <v>78</v>
      </c>
      <c r="Z217" s="3" t="s">
        <v>182</v>
      </c>
      <c r="AA217" s="2" t="e">
        <f>VLOOKUP(C217,Лист1!$B$1:$N$92,10,0)</f>
        <v>#N/A</v>
      </c>
      <c r="AH217" t="e">
        <f>VLOOKUP(C217,Лист1!$B$3:$P$289,15,0)</f>
        <v>#N/A</v>
      </c>
    </row>
    <row r="218" spans="1:34" hidden="1" x14ac:dyDescent="0.25">
      <c r="A218" s="2"/>
      <c r="B218" t="e">
        <f>VLOOKUP(C218,Лист1!$B$1:$N$98,2,0)</f>
        <v>#N/A</v>
      </c>
      <c r="D218" s="5" t="e">
        <f>VLOOKUP(C218,Лист1!$B$2:$T$292,14,0)</f>
        <v>#N/A</v>
      </c>
      <c r="F218" s="19" t="e">
        <f>VLOOKUP(C218,Лист1!$B$1:J368,3,0)</f>
        <v>#N/A</v>
      </c>
      <c r="G218" s="19" t="e">
        <f t="shared" si="29"/>
        <v>#N/A</v>
      </c>
      <c r="H218" t="e">
        <f>VLOOKUP(C218,Лист1!$B$1:$N$198,4,0)</f>
        <v>#N/A</v>
      </c>
      <c r="J218" t="s">
        <v>18</v>
      </c>
      <c r="K218">
        <v>156</v>
      </c>
      <c r="L218" t="s">
        <v>10</v>
      </c>
      <c r="M218" t="s">
        <v>19</v>
      </c>
      <c r="N218" t="s">
        <v>13</v>
      </c>
      <c r="P218">
        <v>10052</v>
      </c>
      <c r="U218" s="4"/>
      <c r="V218" s="4"/>
      <c r="W218"/>
      <c r="Y218" s="1" t="s">
        <v>78</v>
      </c>
      <c r="Z218" s="3" t="s">
        <v>182</v>
      </c>
      <c r="AA218" s="2" t="e">
        <f>VLOOKUP(C218,Лист1!$B$1:$N$92,10,0)</f>
        <v>#N/A</v>
      </c>
      <c r="AH218" t="e">
        <f>VLOOKUP(C218,Лист1!$B$3:$P$289,15,0)</f>
        <v>#N/A</v>
      </c>
    </row>
    <row r="219" spans="1:34" hidden="1" x14ac:dyDescent="0.25">
      <c r="A219" s="2"/>
      <c r="B219" t="e">
        <f>VLOOKUP(C219,Лист1!$B$1:$N$98,2,0)</f>
        <v>#N/A</v>
      </c>
      <c r="D219" s="5" t="e">
        <f>VLOOKUP(C219,Лист1!$B$2:$T$292,14,0)</f>
        <v>#N/A</v>
      </c>
      <c r="F219" s="19" t="e">
        <f>VLOOKUP(C219,Лист1!$B$1:J369,3,0)</f>
        <v>#N/A</v>
      </c>
      <c r="G219" s="19" t="e">
        <f t="shared" si="29"/>
        <v>#N/A</v>
      </c>
      <c r="H219" t="e">
        <f>VLOOKUP(C219,Лист1!$B$1:$N$198,4,0)</f>
        <v>#N/A</v>
      </c>
      <c r="J219" t="s">
        <v>18</v>
      </c>
      <c r="K219">
        <v>156</v>
      </c>
      <c r="L219" t="s">
        <v>10</v>
      </c>
      <c r="M219" t="s">
        <v>19</v>
      </c>
      <c r="N219" t="s">
        <v>13</v>
      </c>
      <c r="P219">
        <v>10052</v>
      </c>
      <c r="U219" s="4"/>
      <c r="V219" s="4"/>
      <c r="W219"/>
      <c r="Y219" s="1" t="s">
        <v>78</v>
      </c>
      <c r="Z219" s="3" t="s">
        <v>182</v>
      </c>
      <c r="AA219" s="2" t="e">
        <f>VLOOKUP(C219,Лист1!$B$1:$N$92,10,0)</f>
        <v>#N/A</v>
      </c>
      <c r="AH219" t="e">
        <f>VLOOKUP(C219,Лист1!$B$3:$P$289,15,0)</f>
        <v>#N/A</v>
      </c>
    </row>
    <row r="220" spans="1:34" hidden="1" x14ac:dyDescent="0.25">
      <c r="A220" s="2"/>
      <c r="B220" t="e">
        <f>VLOOKUP(C220,Лист1!$B$1:$N$98,2,0)</f>
        <v>#N/A</v>
      </c>
      <c r="D220" s="5" t="e">
        <f>VLOOKUP(C220,Лист1!$B$2:$T$292,14,0)</f>
        <v>#N/A</v>
      </c>
      <c r="F220" s="19" t="e">
        <f>VLOOKUP(C220,Лист1!$B$1:J370,3,0)</f>
        <v>#N/A</v>
      </c>
      <c r="G220" s="19" t="e">
        <f t="shared" si="29"/>
        <v>#N/A</v>
      </c>
      <c r="H220" t="e">
        <f>VLOOKUP(C220,Лист1!$B$1:$N$198,4,0)</f>
        <v>#N/A</v>
      </c>
      <c r="J220" t="s">
        <v>18</v>
      </c>
      <c r="K220">
        <v>156</v>
      </c>
      <c r="L220" t="s">
        <v>10</v>
      </c>
      <c r="M220" t="s">
        <v>19</v>
      </c>
      <c r="N220" t="s">
        <v>13</v>
      </c>
      <c r="P220">
        <v>10052</v>
      </c>
      <c r="U220" s="4"/>
      <c r="V220" s="4"/>
      <c r="W220"/>
      <c r="Y220" s="1" t="s">
        <v>78</v>
      </c>
      <c r="Z220" s="3" t="s">
        <v>182</v>
      </c>
      <c r="AA220" s="2" t="e">
        <f>VLOOKUP(C220,Лист1!$B$1:$N$92,10,0)</f>
        <v>#N/A</v>
      </c>
      <c r="AH220" t="e">
        <f>VLOOKUP(C220,Лист1!$B$3:$P$289,15,0)</f>
        <v>#N/A</v>
      </c>
    </row>
    <row r="221" spans="1:34" hidden="1" x14ac:dyDescent="0.25">
      <c r="A221" s="2"/>
      <c r="B221" t="e">
        <f>VLOOKUP(C221,Лист1!$B$1:$N$98,2,0)</f>
        <v>#N/A</v>
      </c>
      <c r="D221" s="5" t="e">
        <f>VLOOKUP(C221,Лист1!$B$2:$T$292,14,0)</f>
        <v>#N/A</v>
      </c>
      <c r="F221" s="19" t="e">
        <f>VLOOKUP(C221,Лист1!$B$1:J371,3,0)</f>
        <v>#N/A</v>
      </c>
      <c r="G221" s="19" t="e">
        <f t="shared" si="29"/>
        <v>#N/A</v>
      </c>
      <c r="H221" t="e">
        <f>VLOOKUP(C221,Лист1!$B$1:$N$198,4,0)</f>
        <v>#N/A</v>
      </c>
      <c r="J221" t="s">
        <v>18</v>
      </c>
      <c r="K221">
        <v>156</v>
      </c>
      <c r="L221" t="s">
        <v>10</v>
      </c>
      <c r="M221" t="s">
        <v>19</v>
      </c>
      <c r="N221" t="s">
        <v>13</v>
      </c>
      <c r="P221">
        <v>10052</v>
      </c>
      <c r="U221" s="4"/>
      <c r="V221" s="4"/>
      <c r="W221"/>
      <c r="Y221" s="1" t="s">
        <v>78</v>
      </c>
      <c r="Z221" s="3" t="s">
        <v>182</v>
      </c>
      <c r="AA221" s="2" t="e">
        <f>VLOOKUP(C221,Лист1!$B$1:$N$92,10,0)</f>
        <v>#N/A</v>
      </c>
      <c r="AH221" t="e">
        <f>VLOOKUP(C221,Лист1!$B$3:$P$289,15,0)</f>
        <v>#N/A</v>
      </c>
    </row>
    <row r="222" spans="1:34" hidden="1" x14ac:dyDescent="0.25">
      <c r="A222" s="2"/>
      <c r="B222" t="e">
        <f>VLOOKUP(C222,Лист1!$B$1:$N$98,2,0)</f>
        <v>#N/A</v>
      </c>
      <c r="D222" s="5" t="e">
        <f>VLOOKUP(C222,Лист1!$B$2:$T$292,14,0)</f>
        <v>#N/A</v>
      </c>
      <c r="F222" s="19" t="e">
        <f>VLOOKUP(C222,Лист1!$B$1:J372,3,0)</f>
        <v>#N/A</v>
      </c>
      <c r="G222" s="19" t="e">
        <f t="shared" si="29"/>
        <v>#N/A</v>
      </c>
      <c r="H222" t="e">
        <f>VLOOKUP(C222,Лист1!$B$1:$N$198,4,0)</f>
        <v>#N/A</v>
      </c>
      <c r="J222" t="s">
        <v>18</v>
      </c>
      <c r="K222">
        <v>156</v>
      </c>
      <c r="L222" t="s">
        <v>10</v>
      </c>
      <c r="M222" t="s">
        <v>19</v>
      </c>
      <c r="N222" t="s">
        <v>13</v>
      </c>
      <c r="P222">
        <v>10052</v>
      </c>
      <c r="U222" s="4"/>
      <c r="V222" s="4"/>
      <c r="W222"/>
      <c r="Y222" s="1" t="s">
        <v>78</v>
      </c>
      <c r="Z222" s="3" t="s">
        <v>182</v>
      </c>
      <c r="AA222" s="2" t="e">
        <f>VLOOKUP(C222,Лист1!$B$1:$N$92,10,0)</f>
        <v>#N/A</v>
      </c>
      <c r="AH222" t="e">
        <f>VLOOKUP(C222,Лист1!$B$3:$P$289,15,0)</f>
        <v>#N/A</v>
      </c>
    </row>
    <row r="223" spans="1:34" hidden="1" x14ac:dyDescent="0.25">
      <c r="A223" s="2"/>
      <c r="B223" t="e">
        <f>VLOOKUP(C223,Лист1!$B$1:$N$98,2,0)</f>
        <v>#N/A</v>
      </c>
      <c r="D223" s="5" t="e">
        <f>VLOOKUP(C223,Лист1!$B$2:$T$292,14,0)</f>
        <v>#N/A</v>
      </c>
      <c r="F223" s="19" t="e">
        <f>VLOOKUP(C223,Лист1!$B$1:J373,3,0)</f>
        <v>#N/A</v>
      </c>
      <c r="G223" s="19" t="e">
        <f t="shared" si="29"/>
        <v>#N/A</v>
      </c>
      <c r="H223" t="e">
        <f>VLOOKUP(C223,Лист1!$B$1:$N$198,4,0)</f>
        <v>#N/A</v>
      </c>
      <c r="J223" t="s">
        <v>18</v>
      </c>
      <c r="K223">
        <v>156</v>
      </c>
      <c r="L223" t="s">
        <v>10</v>
      </c>
      <c r="M223" t="s">
        <v>19</v>
      </c>
      <c r="N223" t="s">
        <v>13</v>
      </c>
      <c r="P223">
        <v>10052</v>
      </c>
      <c r="U223" s="4"/>
      <c r="V223" s="4"/>
      <c r="W223"/>
      <c r="Y223" s="1" t="s">
        <v>78</v>
      </c>
      <c r="Z223" s="3" t="s">
        <v>182</v>
      </c>
      <c r="AA223" s="2" t="e">
        <f>VLOOKUP(C223,Лист1!$B$1:$N$92,10,0)</f>
        <v>#N/A</v>
      </c>
      <c r="AH223" t="e">
        <f>VLOOKUP(C223,Лист1!$B$3:$P$289,15,0)</f>
        <v>#N/A</v>
      </c>
    </row>
    <row r="224" spans="1:34" hidden="1" x14ac:dyDescent="0.25">
      <c r="A224" s="2"/>
      <c r="B224" t="e">
        <f>VLOOKUP(C224,Лист1!$B$1:$N$98,2,0)</f>
        <v>#N/A</v>
      </c>
      <c r="D224" s="5" t="e">
        <f>VLOOKUP(C224,Лист1!$B$2:$T$292,14,0)</f>
        <v>#N/A</v>
      </c>
      <c r="F224" s="19" t="e">
        <f>VLOOKUP(C224,Лист1!$B$1:J374,3,0)</f>
        <v>#N/A</v>
      </c>
      <c r="G224" s="19" t="e">
        <f t="shared" si="29"/>
        <v>#N/A</v>
      </c>
      <c r="H224" t="e">
        <f>VLOOKUP(C224,Лист1!$B$1:$N$198,4,0)</f>
        <v>#N/A</v>
      </c>
      <c r="J224" t="s">
        <v>18</v>
      </c>
      <c r="K224">
        <v>156</v>
      </c>
      <c r="L224" t="s">
        <v>10</v>
      </c>
      <c r="M224" t="s">
        <v>19</v>
      </c>
      <c r="N224" t="s">
        <v>13</v>
      </c>
      <c r="P224">
        <v>10052</v>
      </c>
      <c r="U224" s="4"/>
      <c r="V224" s="4"/>
      <c r="W224"/>
      <c r="Y224" s="1" t="s">
        <v>78</v>
      </c>
      <c r="Z224" s="3" t="s">
        <v>182</v>
      </c>
      <c r="AA224" s="2" t="e">
        <f>VLOOKUP(C224,Лист1!$B$1:$N$92,10,0)</f>
        <v>#N/A</v>
      </c>
      <c r="AH224" t="e">
        <f>VLOOKUP(C224,Лист1!$B$3:$P$289,15,0)</f>
        <v>#N/A</v>
      </c>
    </row>
    <row r="225" spans="1:34" hidden="1" x14ac:dyDescent="0.25">
      <c r="A225" s="2"/>
      <c r="B225" t="e">
        <f>VLOOKUP(C225,Лист1!$B$1:$N$98,2,0)</f>
        <v>#N/A</v>
      </c>
      <c r="D225" s="5" t="e">
        <f>VLOOKUP(C225,Лист1!$B$2:$T$292,14,0)</f>
        <v>#N/A</v>
      </c>
      <c r="F225" s="19" t="e">
        <f>VLOOKUP(C225,Лист1!$B$1:J375,3,0)</f>
        <v>#N/A</v>
      </c>
      <c r="G225" s="19" t="e">
        <f t="shared" si="29"/>
        <v>#N/A</v>
      </c>
      <c r="H225" t="e">
        <f>VLOOKUP(C225,Лист1!$B$1:$N$198,4,0)</f>
        <v>#N/A</v>
      </c>
      <c r="J225" t="s">
        <v>18</v>
      </c>
      <c r="K225">
        <v>156</v>
      </c>
      <c r="L225" t="s">
        <v>10</v>
      </c>
      <c r="M225" t="s">
        <v>19</v>
      </c>
      <c r="N225" t="s">
        <v>13</v>
      </c>
      <c r="P225">
        <v>10052</v>
      </c>
      <c r="U225" s="4"/>
      <c r="V225" s="4"/>
      <c r="W225"/>
      <c r="Y225" s="1" t="s">
        <v>78</v>
      </c>
      <c r="Z225" s="3" t="s">
        <v>182</v>
      </c>
      <c r="AA225" s="2" t="e">
        <f>VLOOKUP(C225,Лист1!$B$1:$N$92,10,0)</f>
        <v>#N/A</v>
      </c>
      <c r="AH225" t="e">
        <f>VLOOKUP(C225,Лист1!$B$3:$P$289,15,0)</f>
        <v>#N/A</v>
      </c>
    </row>
    <row r="226" spans="1:34" hidden="1" x14ac:dyDescent="0.25">
      <c r="A226" s="2"/>
      <c r="B226" t="e">
        <f>VLOOKUP(C226,Лист1!$B$1:$N$98,2,0)</f>
        <v>#N/A</v>
      </c>
      <c r="D226" s="5" t="e">
        <f>VLOOKUP(C226,Лист1!$B$2:$T$292,14,0)</f>
        <v>#N/A</v>
      </c>
      <c r="F226" s="19" t="e">
        <f>VLOOKUP(C226,Лист1!$B$1:J376,3,0)</f>
        <v>#N/A</v>
      </c>
      <c r="G226" s="19" t="e">
        <f t="shared" si="29"/>
        <v>#N/A</v>
      </c>
      <c r="H226" t="e">
        <f>VLOOKUP(C226,Лист1!$B$1:$N$198,4,0)</f>
        <v>#N/A</v>
      </c>
      <c r="J226" t="s">
        <v>18</v>
      </c>
      <c r="K226">
        <v>156</v>
      </c>
      <c r="L226" t="s">
        <v>10</v>
      </c>
      <c r="M226" t="s">
        <v>19</v>
      </c>
      <c r="N226" t="s">
        <v>13</v>
      </c>
      <c r="P226">
        <v>10052</v>
      </c>
      <c r="U226" s="4"/>
      <c r="V226" s="4"/>
      <c r="W226"/>
      <c r="Y226" s="1" t="s">
        <v>78</v>
      </c>
      <c r="Z226" s="3" t="s">
        <v>182</v>
      </c>
      <c r="AA226" s="2" t="e">
        <f>VLOOKUP(C226,Лист1!$B$1:$N$92,10,0)</f>
        <v>#N/A</v>
      </c>
      <c r="AH226" t="e">
        <f>VLOOKUP(C226,Лист1!$B$3:$P$289,15,0)</f>
        <v>#N/A</v>
      </c>
    </row>
    <row r="227" spans="1:34" hidden="1" x14ac:dyDescent="0.25">
      <c r="A227" s="2"/>
      <c r="B227" t="e">
        <f>VLOOKUP(C227,Лист1!$B$1:$N$98,2,0)</f>
        <v>#N/A</v>
      </c>
      <c r="D227" s="5" t="e">
        <f>VLOOKUP(C227,Лист1!$B$2:$T$292,14,0)</f>
        <v>#N/A</v>
      </c>
      <c r="F227" s="19" t="e">
        <f>VLOOKUP(C227,Лист1!$B$1:J377,3,0)</f>
        <v>#N/A</v>
      </c>
      <c r="G227" s="19" t="e">
        <f t="shared" si="29"/>
        <v>#N/A</v>
      </c>
      <c r="H227" t="e">
        <f>VLOOKUP(C227,Лист1!$B$1:$N$198,4,0)</f>
        <v>#N/A</v>
      </c>
      <c r="J227" t="s">
        <v>18</v>
      </c>
      <c r="K227">
        <v>156</v>
      </c>
      <c r="L227" t="s">
        <v>10</v>
      </c>
      <c r="M227" t="s">
        <v>19</v>
      </c>
      <c r="N227" t="s">
        <v>13</v>
      </c>
      <c r="P227">
        <v>10052</v>
      </c>
      <c r="U227" s="4"/>
      <c r="V227" s="4"/>
      <c r="W227"/>
      <c r="Y227" s="1" t="s">
        <v>78</v>
      </c>
      <c r="Z227" s="3" t="s">
        <v>182</v>
      </c>
      <c r="AA227" s="2" t="e">
        <f>VLOOKUP(C227,Лист1!$B$1:$N$92,10,0)</f>
        <v>#N/A</v>
      </c>
      <c r="AH227" t="e">
        <f>VLOOKUP(C227,Лист1!$B$3:$P$289,15,0)</f>
        <v>#N/A</v>
      </c>
    </row>
    <row r="228" spans="1:34" hidden="1" x14ac:dyDescent="0.25">
      <c r="A228" s="2"/>
      <c r="B228" t="e">
        <f>VLOOKUP(C228,Лист1!$B$1:$N$98,2,0)</f>
        <v>#N/A</v>
      </c>
      <c r="D228" s="5" t="e">
        <f>VLOOKUP(C228,Лист1!$B$2:$T$292,14,0)</f>
        <v>#N/A</v>
      </c>
      <c r="F228" s="19" t="e">
        <f>VLOOKUP(C228,Лист1!$B$1:J378,3,0)</f>
        <v>#N/A</v>
      </c>
      <c r="G228" s="19" t="e">
        <f t="shared" si="29"/>
        <v>#N/A</v>
      </c>
      <c r="H228" t="e">
        <f>VLOOKUP(C228,Лист1!$B$1:$N$198,4,0)</f>
        <v>#N/A</v>
      </c>
      <c r="J228" t="s">
        <v>18</v>
      </c>
      <c r="K228">
        <v>156</v>
      </c>
      <c r="L228" t="s">
        <v>10</v>
      </c>
      <c r="M228" t="s">
        <v>19</v>
      </c>
      <c r="N228" t="s">
        <v>13</v>
      </c>
      <c r="P228">
        <v>10052</v>
      </c>
      <c r="U228" s="4"/>
      <c r="V228" s="4"/>
      <c r="W228"/>
      <c r="Y228" s="1" t="s">
        <v>78</v>
      </c>
      <c r="Z228" s="3" t="s">
        <v>182</v>
      </c>
      <c r="AA228" s="2" t="e">
        <f>VLOOKUP(C228,Лист1!$B$1:$N$92,10,0)</f>
        <v>#N/A</v>
      </c>
      <c r="AH228" t="e">
        <f>VLOOKUP(C228,Лист1!$B$3:$P$289,15,0)</f>
        <v>#N/A</v>
      </c>
    </row>
    <row r="229" spans="1:34" hidden="1" x14ac:dyDescent="0.25">
      <c r="A229" s="2"/>
      <c r="B229" t="e">
        <f>VLOOKUP(C229,Лист1!$B$1:$N$98,2,0)</f>
        <v>#N/A</v>
      </c>
      <c r="D229" s="5" t="e">
        <f>VLOOKUP(C229,Лист1!$B$2:$T$292,14,0)</f>
        <v>#N/A</v>
      </c>
      <c r="F229" s="19" t="e">
        <f>VLOOKUP(C229,Лист1!$B$1:J379,3,0)</f>
        <v>#N/A</v>
      </c>
      <c r="G229" s="19" t="e">
        <f t="shared" si="29"/>
        <v>#N/A</v>
      </c>
      <c r="H229" t="e">
        <f>VLOOKUP(C229,Лист1!$B$1:$N$198,4,0)</f>
        <v>#N/A</v>
      </c>
      <c r="J229" t="s">
        <v>18</v>
      </c>
      <c r="K229">
        <v>156</v>
      </c>
      <c r="L229" t="s">
        <v>10</v>
      </c>
      <c r="M229" t="s">
        <v>19</v>
      </c>
      <c r="N229" t="s">
        <v>13</v>
      </c>
      <c r="U229" s="4"/>
      <c r="V229" s="4"/>
      <c r="W229"/>
      <c r="Y229" s="1" t="s">
        <v>78</v>
      </c>
      <c r="Z229" s="3" t="s">
        <v>182</v>
      </c>
      <c r="AA229" s="2" t="e">
        <f>VLOOKUP(C229,Лист1!$B$1:$N$92,10,0)</f>
        <v>#N/A</v>
      </c>
      <c r="AH229" t="e">
        <f>VLOOKUP(C229,Лист1!$B$3:$P$289,15,0)</f>
        <v>#N/A</v>
      </c>
    </row>
    <row r="230" spans="1:34" hidden="1" x14ac:dyDescent="0.25">
      <c r="A230" s="2"/>
      <c r="B230" t="e">
        <f>VLOOKUP(C230,Лист1!$B$1:$N$98,2,0)</f>
        <v>#N/A</v>
      </c>
      <c r="D230" s="5" t="e">
        <f>VLOOKUP(C230,Лист1!$B$2:$T$292,14,0)</f>
        <v>#N/A</v>
      </c>
      <c r="F230" s="19" t="e">
        <f>VLOOKUP(C230,Лист1!$B$1:J380,3,0)</f>
        <v>#N/A</v>
      </c>
      <c r="G230" s="19" t="e">
        <f t="shared" si="29"/>
        <v>#N/A</v>
      </c>
      <c r="H230" t="e">
        <f>VLOOKUP(C230,Лист1!$B$1:$N$198,4,0)</f>
        <v>#N/A</v>
      </c>
      <c r="J230" t="s">
        <v>18</v>
      </c>
      <c r="K230">
        <v>156</v>
      </c>
      <c r="L230" t="s">
        <v>10</v>
      </c>
      <c r="M230" t="s">
        <v>19</v>
      </c>
      <c r="N230" t="s">
        <v>13</v>
      </c>
      <c r="U230" s="4"/>
      <c r="V230" s="4"/>
      <c r="W230"/>
      <c r="Y230" s="1" t="s">
        <v>78</v>
      </c>
      <c r="Z230" s="3" t="s">
        <v>182</v>
      </c>
      <c r="AA230" s="2" t="e">
        <f>VLOOKUP(C230,Лист1!$B$1:$N$92,10,0)</f>
        <v>#N/A</v>
      </c>
      <c r="AH230" t="e">
        <f>VLOOKUP(C230,Лист1!$B$3:$P$289,15,0)</f>
        <v>#N/A</v>
      </c>
    </row>
    <row r="231" spans="1:34" hidden="1" x14ac:dyDescent="0.25">
      <c r="A231" s="2"/>
      <c r="B231" t="e">
        <f>VLOOKUP(C231,Лист1!$B$1:$N$98,2,0)</f>
        <v>#N/A</v>
      </c>
      <c r="D231" s="5" t="e">
        <f>VLOOKUP(C231,Лист1!$B$2:$T$292,14,0)</f>
        <v>#N/A</v>
      </c>
      <c r="F231" s="19" t="e">
        <f>VLOOKUP(C231,Лист1!$B$1:J381,3,0)</f>
        <v>#N/A</v>
      </c>
      <c r="G231" s="19" t="e">
        <f t="shared" si="29"/>
        <v>#N/A</v>
      </c>
      <c r="H231" t="e">
        <f>VLOOKUP(C231,Лист1!$B$1:$N$198,4,0)</f>
        <v>#N/A</v>
      </c>
      <c r="J231" t="s">
        <v>18</v>
      </c>
      <c r="K231">
        <v>156</v>
      </c>
      <c r="L231" t="s">
        <v>10</v>
      </c>
      <c r="M231" t="s">
        <v>19</v>
      </c>
      <c r="N231" t="s">
        <v>13</v>
      </c>
      <c r="U231" s="4"/>
      <c r="V231" s="4"/>
      <c r="W231"/>
      <c r="Y231" s="1" t="s">
        <v>78</v>
      </c>
      <c r="Z231" s="3" t="s">
        <v>182</v>
      </c>
      <c r="AA231" s="2" t="e">
        <f>VLOOKUP(C231,Лист1!$B$1:$N$92,10,0)</f>
        <v>#N/A</v>
      </c>
      <c r="AH231" t="e">
        <f>VLOOKUP(C231,Лист1!$B$3:$P$289,15,0)</f>
        <v>#N/A</v>
      </c>
    </row>
    <row r="232" spans="1:34" hidden="1" x14ac:dyDescent="0.25">
      <c r="A232" s="2"/>
      <c r="B232" t="e">
        <f>VLOOKUP(C232,Лист1!$B$1:$N$98,2,0)</f>
        <v>#N/A</v>
      </c>
      <c r="D232" s="5" t="e">
        <f>VLOOKUP(C232,Лист1!$B$2:$T$292,14,0)</f>
        <v>#N/A</v>
      </c>
      <c r="F232" s="19" t="e">
        <f>VLOOKUP(C232,Лист1!$B$1:J382,3,0)</f>
        <v>#N/A</v>
      </c>
      <c r="G232" s="19" t="e">
        <f t="shared" si="29"/>
        <v>#N/A</v>
      </c>
      <c r="H232" t="e">
        <f>VLOOKUP(C232,Лист1!$B$1:$N$198,4,0)</f>
        <v>#N/A</v>
      </c>
      <c r="J232" t="s">
        <v>18</v>
      </c>
      <c r="K232">
        <v>156</v>
      </c>
      <c r="L232" t="s">
        <v>10</v>
      </c>
      <c r="M232" t="s">
        <v>19</v>
      </c>
      <c r="N232" t="s">
        <v>13</v>
      </c>
      <c r="U232" s="4"/>
      <c r="V232" s="4"/>
      <c r="W232"/>
      <c r="Y232" s="1" t="s">
        <v>78</v>
      </c>
      <c r="Z232" s="3" t="s">
        <v>182</v>
      </c>
      <c r="AA232" s="2" t="e">
        <f>VLOOKUP(C232,Лист1!$B$1:$N$92,10,0)</f>
        <v>#N/A</v>
      </c>
      <c r="AH232" t="e">
        <f>VLOOKUP(C232,Лист1!$B$3:$P$289,15,0)</f>
        <v>#N/A</v>
      </c>
    </row>
    <row r="233" spans="1:34" hidden="1" x14ac:dyDescent="0.25">
      <c r="A233" s="2"/>
      <c r="B233" t="e">
        <f>VLOOKUP(C233,Лист1!$B$1:$N$98,2,0)</f>
        <v>#N/A</v>
      </c>
      <c r="D233" s="5" t="e">
        <f>VLOOKUP(C233,Лист1!$B$2:$T$292,14,0)</f>
        <v>#N/A</v>
      </c>
      <c r="F233" s="19" t="e">
        <f>VLOOKUP(C233,Лист1!$B$1:J383,3,0)</f>
        <v>#N/A</v>
      </c>
      <c r="G233" s="19" t="e">
        <f t="shared" si="29"/>
        <v>#N/A</v>
      </c>
      <c r="H233" t="e">
        <f>VLOOKUP(C233,Лист1!$B$1:$N$198,4,0)</f>
        <v>#N/A</v>
      </c>
      <c r="J233" t="s">
        <v>18</v>
      </c>
      <c r="K233">
        <v>156</v>
      </c>
      <c r="L233" t="s">
        <v>10</v>
      </c>
      <c r="M233" t="s">
        <v>19</v>
      </c>
      <c r="N233" t="s">
        <v>13</v>
      </c>
      <c r="U233" s="4"/>
      <c r="V233" s="4"/>
      <c r="W233"/>
      <c r="Y233" s="1" t="s">
        <v>78</v>
      </c>
      <c r="Z233" s="3" t="s">
        <v>182</v>
      </c>
      <c r="AA233" s="2" t="e">
        <f>VLOOKUP(C233,Лист1!$B$1:$N$92,10,0)</f>
        <v>#N/A</v>
      </c>
      <c r="AH233" t="e">
        <f>VLOOKUP(C233,Лист1!$B$3:$P$289,15,0)</f>
        <v>#N/A</v>
      </c>
    </row>
    <row r="234" spans="1:34" hidden="1" x14ac:dyDescent="0.25">
      <c r="A234" s="2"/>
      <c r="B234" t="e">
        <f>VLOOKUP(C234,Лист1!$B$1:$N$98,2,0)</f>
        <v>#N/A</v>
      </c>
      <c r="D234" s="5" t="e">
        <f>VLOOKUP(C234,Лист1!$B$2:$T$292,14,0)</f>
        <v>#N/A</v>
      </c>
      <c r="F234" s="19" t="e">
        <f>VLOOKUP(C234,Лист1!$B$1:J384,3,0)</f>
        <v>#N/A</v>
      </c>
      <c r="G234" s="19" t="e">
        <f t="shared" si="29"/>
        <v>#N/A</v>
      </c>
      <c r="H234" t="e">
        <f>VLOOKUP(C234,Лист1!$B$1:$N$198,4,0)</f>
        <v>#N/A</v>
      </c>
      <c r="J234" t="s">
        <v>18</v>
      </c>
      <c r="K234">
        <v>156</v>
      </c>
      <c r="L234" t="s">
        <v>10</v>
      </c>
      <c r="M234" t="s">
        <v>19</v>
      </c>
      <c r="N234" t="s">
        <v>13</v>
      </c>
      <c r="U234" s="4"/>
      <c r="V234" s="4"/>
      <c r="W234"/>
      <c r="Y234" s="1" t="s">
        <v>78</v>
      </c>
      <c r="Z234" s="3" t="s">
        <v>182</v>
      </c>
      <c r="AA234" s="2" t="e">
        <f>VLOOKUP(C234,Лист1!$B$1:$N$92,10,0)</f>
        <v>#N/A</v>
      </c>
      <c r="AH234" t="e">
        <f>VLOOKUP(C234,Лист1!$B$3:$P$289,15,0)</f>
        <v>#N/A</v>
      </c>
    </row>
    <row r="235" spans="1:34" hidden="1" x14ac:dyDescent="0.25">
      <c r="A235" s="2"/>
      <c r="B235" t="e">
        <f>VLOOKUP(C235,Лист1!$B$1:$N$98,2,0)</f>
        <v>#N/A</v>
      </c>
      <c r="D235" s="5" t="e">
        <f>VLOOKUP(C235,Лист1!$B$2:$T$292,14,0)</f>
        <v>#N/A</v>
      </c>
      <c r="F235" s="19" t="e">
        <f>VLOOKUP(C235,Лист1!$B$1:J385,3,0)</f>
        <v>#N/A</v>
      </c>
      <c r="G235" s="19" t="e">
        <f t="shared" si="29"/>
        <v>#N/A</v>
      </c>
      <c r="H235" t="e">
        <f>VLOOKUP(C235,Лист1!$B$1:$N$198,4,0)</f>
        <v>#N/A</v>
      </c>
      <c r="J235" t="s">
        <v>18</v>
      </c>
      <c r="K235">
        <v>156</v>
      </c>
      <c r="L235" t="s">
        <v>10</v>
      </c>
      <c r="M235" t="s">
        <v>19</v>
      </c>
      <c r="N235" t="s">
        <v>13</v>
      </c>
      <c r="U235" s="4"/>
      <c r="V235" s="4"/>
      <c r="W235"/>
      <c r="Y235" s="1" t="s">
        <v>78</v>
      </c>
      <c r="Z235" s="3" t="s">
        <v>182</v>
      </c>
      <c r="AA235" s="2" t="e">
        <f>VLOOKUP(C235,Лист1!$B$1:$N$92,10,0)</f>
        <v>#N/A</v>
      </c>
      <c r="AH235" t="e">
        <f>VLOOKUP(C235,Лист1!$B$3:$P$289,15,0)</f>
        <v>#N/A</v>
      </c>
    </row>
    <row r="236" spans="1:34" hidden="1" x14ac:dyDescent="0.25">
      <c r="A236" s="2"/>
      <c r="B236" t="e">
        <f>VLOOKUP(C236,Лист1!$B$1:$N$98,2,0)</f>
        <v>#N/A</v>
      </c>
      <c r="D236" s="5" t="e">
        <f>VLOOKUP(C236,Лист1!$B$2:$T$292,14,0)</f>
        <v>#N/A</v>
      </c>
      <c r="F236" s="19" t="e">
        <f>VLOOKUP(C236,Лист1!$B$1:J386,3,0)</f>
        <v>#N/A</v>
      </c>
      <c r="G236" s="19" t="e">
        <f t="shared" si="29"/>
        <v>#N/A</v>
      </c>
      <c r="H236" t="e">
        <f>VLOOKUP(C236,Лист1!$B$1:$N$198,4,0)</f>
        <v>#N/A</v>
      </c>
      <c r="J236" t="s">
        <v>18</v>
      </c>
      <c r="K236">
        <v>156</v>
      </c>
      <c r="L236" t="s">
        <v>10</v>
      </c>
      <c r="M236" t="s">
        <v>19</v>
      </c>
      <c r="N236" t="s">
        <v>13</v>
      </c>
      <c r="U236" s="4"/>
      <c r="V236" s="4"/>
      <c r="W236"/>
      <c r="Y236" s="1" t="s">
        <v>78</v>
      </c>
      <c r="Z236" s="3" t="s">
        <v>182</v>
      </c>
      <c r="AA236" s="2" t="e">
        <f>VLOOKUP(C236,Лист1!$B$1:$N$92,10,0)</f>
        <v>#N/A</v>
      </c>
      <c r="AH236" t="e">
        <f>VLOOKUP(C236,Лист1!$B$3:$P$289,15,0)</f>
        <v>#N/A</v>
      </c>
    </row>
    <row r="237" spans="1:34" hidden="1" x14ac:dyDescent="0.25">
      <c r="A237" s="2"/>
      <c r="B237" t="e">
        <f>VLOOKUP(C237,Лист1!$B$1:$N$98,2,0)</f>
        <v>#N/A</v>
      </c>
      <c r="D237" s="5" t="e">
        <f>VLOOKUP(C237,Лист1!$B$2:$T$292,14,0)</f>
        <v>#N/A</v>
      </c>
      <c r="F237" s="19" t="e">
        <f>VLOOKUP(C237,Лист1!$B$1:J387,3,0)</f>
        <v>#N/A</v>
      </c>
      <c r="G237" s="19" t="e">
        <f t="shared" si="29"/>
        <v>#N/A</v>
      </c>
      <c r="H237" t="e">
        <f>VLOOKUP(C237,Лист1!$B$1:$N$198,4,0)</f>
        <v>#N/A</v>
      </c>
      <c r="J237" t="s">
        <v>18</v>
      </c>
      <c r="K237">
        <v>156</v>
      </c>
      <c r="L237" t="s">
        <v>10</v>
      </c>
      <c r="M237" t="s">
        <v>19</v>
      </c>
      <c r="N237" t="s">
        <v>13</v>
      </c>
      <c r="U237" s="4"/>
      <c r="V237" s="4"/>
      <c r="W237"/>
      <c r="Y237" s="1" t="s">
        <v>78</v>
      </c>
      <c r="Z237" s="3" t="s">
        <v>182</v>
      </c>
      <c r="AA237" s="2" t="e">
        <f>VLOOKUP(C237,Лист1!$B$1:$N$92,10,0)</f>
        <v>#N/A</v>
      </c>
      <c r="AH237" t="e">
        <f>VLOOKUP(C237,Лист1!$B$3:$P$289,15,0)</f>
        <v>#N/A</v>
      </c>
    </row>
    <row r="238" spans="1:34" hidden="1" x14ac:dyDescent="0.25">
      <c r="A238" s="2"/>
      <c r="B238" t="e">
        <f>VLOOKUP(C238,Лист1!$B$1:$N$98,2,0)</f>
        <v>#N/A</v>
      </c>
      <c r="D238" s="5" t="e">
        <f>VLOOKUP(C238,Лист1!$B$2:$T$292,14,0)</f>
        <v>#N/A</v>
      </c>
      <c r="F238" s="19" t="e">
        <f>VLOOKUP(C238,Лист1!$B$1:J388,3,0)</f>
        <v>#N/A</v>
      </c>
      <c r="G238" s="19" t="e">
        <f t="shared" si="29"/>
        <v>#N/A</v>
      </c>
      <c r="H238" t="e">
        <f>VLOOKUP(C238,Лист1!$B$1:$N$198,4,0)</f>
        <v>#N/A</v>
      </c>
      <c r="J238" t="s">
        <v>18</v>
      </c>
      <c r="K238">
        <v>156</v>
      </c>
      <c r="L238" t="s">
        <v>10</v>
      </c>
      <c r="M238" t="s">
        <v>19</v>
      </c>
      <c r="N238" t="s">
        <v>13</v>
      </c>
      <c r="U238" s="4"/>
      <c r="V238" s="4"/>
      <c r="W238"/>
      <c r="Y238" s="1" t="s">
        <v>78</v>
      </c>
      <c r="Z238" s="3" t="s">
        <v>182</v>
      </c>
      <c r="AA238" s="2" t="e">
        <f>VLOOKUP(C238,Лист1!$B$1:$N$92,10,0)</f>
        <v>#N/A</v>
      </c>
      <c r="AH238" t="e">
        <f>VLOOKUP(C238,Лист1!$B$3:$P$289,15,0)</f>
        <v>#N/A</v>
      </c>
    </row>
    <row r="239" spans="1:34" hidden="1" x14ac:dyDescent="0.25">
      <c r="A239" s="2"/>
      <c r="B239" t="e">
        <f>VLOOKUP(C239,Лист1!$B$1:$N$98,2,0)</f>
        <v>#N/A</v>
      </c>
      <c r="D239" s="5" t="e">
        <f>VLOOKUP(C239,Лист1!$B$2:$T$292,14,0)</f>
        <v>#N/A</v>
      </c>
      <c r="F239" s="19" t="e">
        <f>VLOOKUP(C239,Лист1!$B$1:J389,3,0)</f>
        <v>#N/A</v>
      </c>
      <c r="G239" s="19" t="e">
        <f t="shared" si="29"/>
        <v>#N/A</v>
      </c>
      <c r="H239" t="e">
        <f>VLOOKUP(C239,Лист1!$B$1:$N$198,4,0)</f>
        <v>#N/A</v>
      </c>
      <c r="J239" t="s">
        <v>18</v>
      </c>
      <c r="K239">
        <v>156</v>
      </c>
      <c r="L239" t="s">
        <v>10</v>
      </c>
      <c r="M239" t="s">
        <v>19</v>
      </c>
      <c r="N239" t="s">
        <v>13</v>
      </c>
      <c r="U239" s="4"/>
      <c r="V239" s="4"/>
      <c r="W239"/>
      <c r="Y239" s="1" t="s">
        <v>78</v>
      </c>
      <c r="Z239" s="3" t="s">
        <v>182</v>
      </c>
      <c r="AA239" s="2" t="e">
        <f>VLOOKUP(C239,Лист1!$B$1:$N$92,10,0)</f>
        <v>#N/A</v>
      </c>
      <c r="AH239" t="e">
        <f>VLOOKUP(C239,Лист1!$B$3:$P$289,15,0)</f>
        <v>#N/A</v>
      </c>
    </row>
    <row r="240" spans="1:34" hidden="1" x14ac:dyDescent="0.25">
      <c r="A240" s="2"/>
      <c r="B240" t="e">
        <f>VLOOKUP(C240,Лист1!$B$1:$N$98,2,0)</f>
        <v>#N/A</v>
      </c>
      <c r="D240" s="5" t="e">
        <f>VLOOKUP(C240,Лист1!$B$2:$T$292,14,0)</f>
        <v>#N/A</v>
      </c>
      <c r="F240" s="19" t="e">
        <f>VLOOKUP(C240,Лист1!$B$1:J390,3,0)</f>
        <v>#N/A</v>
      </c>
      <c r="G240" s="19" t="e">
        <f t="shared" si="29"/>
        <v>#N/A</v>
      </c>
      <c r="H240" t="e">
        <f>VLOOKUP(C240,Лист1!$B$1:$N$198,4,0)</f>
        <v>#N/A</v>
      </c>
      <c r="J240" t="s">
        <v>18</v>
      </c>
      <c r="K240">
        <v>156</v>
      </c>
      <c r="L240" t="s">
        <v>10</v>
      </c>
      <c r="M240" t="s">
        <v>19</v>
      </c>
      <c r="N240" t="s">
        <v>13</v>
      </c>
      <c r="U240" s="4"/>
      <c r="V240" s="4"/>
      <c r="W240"/>
      <c r="Y240" s="1" t="s">
        <v>78</v>
      </c>
      <c r="Z240" s="3" t="s">
        <v>182</v>
      </c>
      <c r="AA240" s="2" t="e">
        <f>VLOOKUP(C240,Лист1!$B$1:$N$92,10,0)</f>
        <v>#N/A</v>
      </c>
      <c r="AH240" t="e">
        <f>VLOOKUP(C240,Лист1!$B$3:$P$289,15,0)</f>
        <v>#N/A</v>
      </c>
    </row>
    <row r="241" spans="1:34" hidden="1" x14ac:dyDescent="0.25">
      <c r="A241" s="2"/>
      <c r="B241" t="e">
        <f>VLOOKUP(C241,Лист1!$B$1:$N$98,2,0)</f>
        <v>#N/A</v>
      </c>
      <c r="D241" s="5" t="e">
        <f>VLOOKUP(C241,Лист1!$B$2:$T$292,14,0)</f>
        <v>#N/A</v>
      </c>
      <c r="F241" s="19" t="e">
        <f>VLOOKUP(C241,Лист1!$B$1:J391,3,0)</f>
        <v>#N/A</v>
      </c>
      <c r="G241" s="19" t="e">
        <f t="shared" si="29"/>
        <v>#N/A</v>
      </c>
      <c r="H241" t="e">
        <f>VLOOKUP(C241,Лист1!$B$1:$N$198,4,0)</f>
        <v>#N/A</v>
      </c>
      <c r="J241" t="s">
        <v>18</v>
      </c>
      <c r="K241">
        <v>156</v>
      </c>
      <c r="L241" t="s">
        <v>10</v>
      </c>
      <c r="M241" t="s">
        <v>19</v>
      </c>
      <c r="N241" t="s">
        <v>13</v>
      </c>
      <c r="U241" s="4"/>
      <c r="V241" s="4"/>
      <c r="W241"/>
      <c r="Y241" s="1" t="s">
        <v>78</v>
      </c>
      <c r="Z241" s="3" t="s">
        <v>182</v>
      </c>
      <c r="AA241" s="2" t="e">
        <f>VLOOKUP(C241,Лист1!$B$1:$N$92,10,0)</f>
        <v>#N/A</v>
      </c>
      <c r="AH241" t="e">
        <f>VLOOKUP(C241,Лист1!$B$3:$P$289,15,0)</f>
        <v>#N/A</v>
      </c>
    </row>
    <row r="242" spans="1:34" hidden="1" x14ac:dyDescent="0.25">
      <c r="A242" s="2"/>
      <c r="B242" t="e">
        <f>VLOOKUP(C242,Лист1!$B$1:$N$98,2,0)</f>
        <v>#N/A</v>
      </c>
      <c r="D242" s="5" t="e">
        <f>VLOOKUP(C242,Лист1!$B$2:$T$292,14,0)</f>
        <v>#N/A</v>
      </c>
      <c r="F242" s="19" t="e">
        <f>VLOOKUP(C242,Лист1!$B$1:J392,3,0)</f>
        <v>#N/A</v>
      </c>
      <c r="G242" s="19" t="e">
        <f t="shared" ref="G242:G302" si="35">F242*E242</f>
        <v>#N/A</v>
      </c>
      <c r="H242" t="e">
        <f>VLOOKUP(C242,Лист1!$B$1:$N$198,4,0)</f>
        <v>#N/A</v>
      </c>
      <c r="J242" t="s">
        <v>18</v>
      </c>
      <c r="K242">
        <v>156</v>
      </c>
      <c r="L242" t="s">
        <v>10</v>
      </c>
      <c r="M242" t="s">
        <v>19</v>
      </c>
      <c r="N242" t="s">
        <v>13</v>
      </c>
      <c r="U242" s="4"/>
      <c r="V242" s="4"/>
      <c r="W242"/>
      <c r="Y242" s="1" t="s">
        <v>78</v>
      </c>
      <c r="Z242" s="3" t="s">
        <v>182</v>
      </c>
      <c r="AA242" s="2" t="e">
        <f>VLOOKUP(C242,Лист1!$B$1:$N$92,10,0)</f>
        <v>#N/A</v>
      </c>
      <c r="AH242" t="e">
        <f>VLOOKUP(C242,Лист1!$B$3:$P$289,15,0)</f>
        <v>#N/A</v>
      </c>
    </row>
    <row r="243" spans="1:34" hidden="1" x14ac:dyDescent="0.25">
      <c r="A243" s="2"/>
      <c r="B243" t="e">
        <f>VLOOKUP(C243,Лист1!$B$1:$N$98,2,0)</f>
        <v>#N/A</v>
      </c>
      <c r="D243" s="5" t="e">
        <f>VLOOKUP(C243,Лист1!$B$2:$T$292,14,0)</f>
        <v>#N/A</v>
      </c>
      <c r="F243" s="19" t="e">
        <f>VLOOKUP(C243,Лист1!$B$1:J393,3,0)</f>
        <v>#N/A</v>
      </c>
      <c r="G243" s="19" t="e">
        <f t="shared" si="35"/>
        <v>#N/A</v>
      </c>
      <c r="H243" t="e">
        <f>VLOOKUP(C243,Лист1!$B$1:$N$198,4,0)</f>
        <v>#N/A</v>
      </c>
      <c r="J243" t="s">
        <v>18</v>
      </c>
      <c r="K243">
        <v>156</v>
      </c>
      <c r="L243" t="s">
        <v>10</v>
      </c>
      <c r="M243" t="s">
        <v>19</v>
      </c>
      <c r="N243" t="s">
        <v>13</v>
      </c>
      <c r="U243" s="4"/>
      <c r="V243" s="4"/>
      <c r="W243"/>
      <c r="Y243" s="1" t="s">
        <v>78</v>
      </c>
      <c r="Z243" s="3" t="s">
        <v>182</v>
      </c>
      <c r="AA243" s="2" t="e">
        <f>VLOOKUP(C243,Лист1!$B$1:$N$92,10,0)</f>
        <v>#N/A</v>
      </c>
      <c r="AH243" t="e">
        <f>VLOOKUP(C243,Лист1!$B$3:$P$289,15,0)</f>
        <v>#N/A</v>
      </c>
    </row>
    <row r="244" spans="1:34" hidden="1" x14ac:dyDescent="0.25">
      <c r="A244" s="2"/>
      <c r="B244" t="e">
        <f>VLOOKUP(C244,Лист1!$B$1:$N$98,2,0)</f>
        <v>#N/A</v>
      </c>
      <c r="D244" s="5" t="e">
        <f>VLOOKUP(C244,Лист1!$B$2:$T$292,14,0)</f>
        <v>#N/A</v>
      </c>
      <c r="F244" s="19" t="e">
        <f>VLOOKUP(C244,Лист1!$B$1:J394,3,0)</f>
        <v>#N/A</v>
      </c>
      <c r="G244" s="19" t="e">
        <f t="shared" si="35"/>
        <v>#N/A</v>
      </c>
      <c r="H244" t="e">
        <f>VLOOKUP(C244,Лист1!$B$1:$N$198,4,0)</f>
        <v>#N/A</v>
      </c>
      <c r="J244" t="s">
        <v>18</v>
      </c>
      <c r="K244">
        <v>156</v>
      </c>
      <c r="L244" t="s">
        <v>10</v>
      </c>
      <c r="M244" t="s">
        <v>19</v>
      </c>
      <c r="N244" t="s">
        <v>13</v>
      </c>
      <c r="U244" s="4"/>
      <c r="V244" s="4"/>
      <c r="W244"/>
      <c r="Y244" s="1" t="s">
        <v>78</v>
      </c>
      <c r="Z244" s="3" t="s">
        <v>182</v>
      </c>
      <c r="AA244" s="2" t="e">
        <f>VLOOKUP(C244,Лист1!$B$1:$N$92,10,0)</f>
        <v>#N/A</v>
      </c>
      <c r="AH244" t="e">
        <f>VLOOKUP(C244,Лист1!$B$3:$P$289,15,0)</f>
        <v>#N/A</v>
      </c>
    </row>
    <row r="245" spans="1:34" hidden="1" x14ac:dyDescent="0.25">
      <c r="A245" s="2"/>
      <c r="B245" t="e">
        <f>VLOOKUP(C245,Лист1!$B$1:$N$98,2,0)</f>
        <v>#N/A</v>
      </c>
      <c r="D245" s="5" t="e">
        <f>VLOOKUP(C245,Лист1!$B$2:$T$292,14,0)</f>
        <v>#N/A</v>
      </c>
      <c r="F245" s="19" t="e">
        <f>VLOOKUP(C245,Лист1!$B$1:J395,3,0)</f>
        <v>#N/A</v>
      </c>
      <c r="G245" s="19" t="e">
        <f t="shared" si="35"/>
        <v>#N/A</v>
      </c>
      <c r="H245" t="e">
        <f>VLOOKUP(C245,Лист1!$B$1:$N$198,4,0)</f>
        <v>#N/A</v>
      </c>
      <c r="J245" t="s">
        <v>18</v>
      </c>
      <c r="K245">
        <v>156</v>
      </c>
      <c r="L245" t="s">
        <v>10</v>
      </c>
      <c r="M245" t="s">
        <v>19</v>
      </c>
      <c r="N245" t="s">
        <v>13</v>
      </c>
      <c r="U245" s="4"/>
      <c r="V245" s="4"/>
      <c r="W245"/>
      <c r="Y245" s="1" t="s">
        <v>78</v>
      </c>
      <c r="Z245" s="3" t="s">
        <v>182</v>
      </c>
      <c r="AA245" s="2" t="e">
        <f>VLOOKUP(C245,Лист1!$B$1:$N$92,10,0)</f>
        <v>#N/A</v>
      </c>
      <c r="AH245" t="e">
        <f>VLOOKUP(C245,Лист1!$B$3:$P$289,15,0)</f>
        <v>#N/A</v>
      </c>
    </row>
    <row r="246" spans="1:34" hidden="1" x14ac:dyDescent="0.25">
      <c r="A246" s="2"/>
      <c r="B246" t="e">
        <f>VLOOKUP(C246,Лист1!$B$1:$N$98,2,0)</f>
        <v>#N/A</v>
      </c>
      <c r="D246" s="5" t="e">
        <f>VLOOKUP(C246,Лист1!$B$2:$T$292,14,0)</f>
        <v>#N/A</v>
      </c>
      <c r="F246" s="19" t="e">
        <f>VLOOKUP(C246,Лист1!$B$1:J396,3,0)</f>
        <v>#N/A</v>
      </c>
      <c r="G246" s="19" t="e">
        <f t="shared" si="35"/>
        <v>#N/A</v>
      </c>
      <c r="H246" t="e">
        <f>VLOOKUP(C246,Лист1!$B$1:$N$198,4,0)</f>
        <v>#N/A</v>
      </c>
      <c r="J246" t="s">
        <v>18</v>
      </c>
      <c r="K246">
        <v>156</v>
      </c>
      <c r="L246" t="s">
        <v>10</v>
      </c>
      <c r="M246" t="s">
        <v>19</v>
      </c>
      <c r="N246" t="s">
        <v>13</v>
      </c>
      <c r="U246" s="4"/>
      <c r="V246" s="4"/>
      <c r="W246"/>
      <c r="Y246" s="1" t="s">
        <v>78</v>
      </c>
      <c r="Z246" s="3" t="s">
        <v>182</v>
      </c>
      <c r="AA246" s="2" t="e">
        <f>VLOOKUP(C246,Лист1!$B$1:$N$92,10,0)</f>
        <v>#N/A</v>
      </c>
      <c r="AH246" t="e">
        <f>VLOOKUP(C246,Лист1!$B$3:$P$289,15,0)</f>
        <v>#N/A</v>
      </c>
    </row>
    <row r="247" spans="1:34" hidden="1" x14ac:dyDescent="0.25">
      <c r="A247" s="2"/>
      <c r="B247" t="e">
        <f>VLOOKUP(C247,Лист1!$B$1:$N$98,2,0)</f>
        <v>#N/A</v>
      </c>
      <c r="D247" s="5" t="e">
        <f>VLOOKUP(C247,Лист1!$B$2:$T$292,14,0)</f>
        <v>#N/A</v>
      </c>
      <c r="F247" s="19" t="e">
        <f>VLOOKUP(C247,Лист1!$B$1:J397,3,0)</f>
        <v>#N/A</v>
      </c>
      <c r="G247" s="19" t="e">
        <f t="shared" si="35"/>
        <v>#N/A</v>
      </c>
      <c r="H247" t="e">
        <f>VLOOKUP(C247,Лист1!$B$1:$N$198,4,0)</f>
        <v>#N/A</v>
      </c>
      <c r="J247" t="s">
        <v>18</v>
      </c>
      <c r="K247">
        <v>156</v>
      </c>
      <c r="L247" t="s">
        <v>10</v>
      </c>
      <c r="M247" t="s">
        <v>19</v>
      </c>
      <c r="N247" t="s">
        <v>13</v>
      </c>
      <c r="U247" s="4"/>
      <c r="V247" s="4"/>
      <c r="W247"/>
      <c r="Y247" s="1" t="s">
        <v>78</v>
      </c>
      <c r="Z247" s="3" t="s">
        <v>182</v>
      </c>
      <c r="AA247" s="2" t="e">
        <f>VLOOKUP(C247,Лист1!$B$1:$N$92,10,0)</f>
        <v>#N/A</v>
      </c>
      <c r="AH247" t="e">
        <f>VLOOKUP(C247,Лист1!$B$3:$P$289,15,0)</f>
        <v>#N/A</v>
      </c>
    </row>
    <row r="248" spans="1:34" hidden="1" x14ac:dyDescent="0.25">
      <c r="A248" s="2"/>
      <c r="B248" t="e">
        <f>VLOOKUP(C248,Лист1!$B$1:$N$98,2,0)</f>
        <v>#N/A</v>
      </c>
      <c r="D248" s="5" t="e">
        <f>VLOOKUP(C248,Лист1!$B$2:$T$292,14,0)</f>
        <v>#N/A</v>
      </c>
      <c r="F248" s="19" t="e">
        <f>VLOOKUP(C248,Лист1!$B$1:J398,3,0)</f>
        <v>#N/A</v>
      </c>
      <c r="G248" s="19" t="e">
        <f t="shared" si="35"/>
        <v>#N/A</v>
      </c>
      <c r="H248" t="e">
        <f>VLOOKUP(C248,Лист1!$B$1:$N$198,4,0)</f>
        <v>#N/A</v>
      </c>
      <c r="J248" t="s">
        <v>18</v>
      </c>
      <c r="K248">
        <v>156</v>
      </c>
      <c r="L248" t="s">
        <v>10</v>
      </c>
      <c r="M248" t="s">
        <v>19</v>
      </c>
      <c r="N248" t="s">
        <v>13</v>
      </c>
      <c r="U248" s="4"/>
      <c r="V248" s="4"/>
      <c r="W248"/>
      <c r="Y248" s="1" t="s">
        <v>78</v>
      </c>
      <c r="Z248" s="3" t="s">
        <v>182</v>
      </c>
      <c r="AA248" s="2" t="e">
        <f>VLOOKUP(C248,Лист1!$B$1:$N$92,10,0)</f>
        <v>#N/A</v>
      </c>
      <c r="AH248" t="e">
        <f>VLOOKUP(C248,Лист1!$B$3:$P$289,15,0)</f>
        <v>#N/A</v>
      </c>
    </row>
    <row r="249" spans="1:34" hidden="1" x14ac:dyDescent="0.25">
      <c r="A249" s="2"/>
      <c r="B249" t="e">
        <f>VLOOKUP(C249,Лист1!$B$1:$N$98,2,0)</f>
        <v>#N/A</v>
      </c>
      <c r="D249" s="5" t="e">
        <f>VLOOKUP(C249,Лист1!$B$2:$T$292,14,0)</f>
        <v>#N/A</v>
      </c>
      <c r="F249" s="19" t="e">
        <f>VLOOKUP(C249,Лист1!$B$1:J399,3,0)</f>
        <v>#N/A</v>
      </c>
      <c r="G249" s="19" t="e">
        <f t="shared" si="35"/>
        <v>#N/A</v>
      </c>
      <c r="H249" t="e">
        <f>VLOOKUP(C249,Лист1!$B$1:$N$198,4,0)</f>
        <v>#N/A</v>
      </c>
      <c r="J249" t="s">
        <v>18</v>
      </c>
      <c r="K249">
        <v>156</v>
      </c>
      <c r="L249" t="s">
        <v>10</v>
      </c>
      <c r="M249" t="s">
        <v>19</v>
      </c>
      <c r="N249" t="s">
        <v>13</v>
      </c>
      <c r="U249" s="4"/>
      <c r="V249" s="4"/>
      <c r="W249"/>
      <c r="Y249" s="1" t="s">
        <v>78</v>
      </c>
      <c r="Z249" s="3" t="s">
        <v>182</v>
      </c>
      <c r="AA249" s="2" t="e">
        <f>VLOOKUP(C249,Лист1!$B$1:$N$92,10,0)</f>
        <v>#N/A</v>
      </c>
      <c r="AH249" t="e">
        <f>VLOOKUP(C249,Лист1!$B$3:$P$289,15,0)</f>
        <v>#N/A</v>
      </c>
    </row>
    <row r="250" spans="1:34" hidden="1" x14ac:dyDescent="0.25">
      <c r="A250" s="2"/>
      <c r="B250" t="e">
        <f>VLOOKUP(C250,Лист1!$B$1:$N$98,2,0)</f>
        <v>#N/A</v>
      </c>
      <c r="D250" s="5" t="e">
        <f>VLOOKUP(C250,Лист1!$B$2:$T$292,14,0)</f>
        <v>#N/A</v>
      </c>
      <c r="F250" s="19" t="e">
        <f>VLOOKUP(C250,Лист1!$B$1:J400,3,0)</f>
        <v>#N/A</v>
      </c>
      <c r="G250" s="19" t="e">
        <f t="shared" si="35"/>
        <v>#N/A</v>
      </c>
      <c r="H250" t="e">
        <f>VLOOKUP(C250,Лист1!$B$1:$N$198,4,0)</f>
        <v>#N/A</v>
      </c>
      <c r="J250" t="s">
        <v>18</v>
      </c>
      <c r="K250">
        <v>156</v>
      </c>
      <c r="L250" t="s">
        <v>10</v>
      </c>
      <c r="M250" t="s">
        <v>19</v>
      </c>
      <c r="N250" t="s">
        <v>13</v>
      </c>
      <c r="U250" s="4"/>
      <c r="V250" s="4"/>
      <c r="W250"/>
      <c r="Y250" s="1" t="s">
        <v>78</v>
      </c>
      <c r="Z250" s="3" t="s">
        <v>182</v>
      </c>
      <c r="AA250" s="2" t="e">
        <f>VLOOKUP(C250,Лист1!$B$1:$N$92,10,0)</f>
        <v>#N/A</v>
      </c>
      <c r="AH250" t="e">
        <f>VLOOKUP(C250,Лист1!$B$3:$P$289,15,0)</f>
        <v>#N/A</v>
      </c>
    </row>
    <row r="251" spans="1:34" hidden="1" x14ac:dyDescent="0.25">
      <c r="A251" s="2"/>
      <c r="B251" t="e">
        <f>VLOOKUP(C251,Лист1!$B$1:$N$98,2,0)</f>
        <v>#N/A</v>
      </c>
      <c r="D251" s="5" t="e">
        <f>VLOOKUP(C251,Лист1!$B$2:$T$292,14,0)</f>
        <v>#N/A</v>
      </c>
      <c r="F251" s="19" t="e">
        <f>VLOOKUP(C251,Лист1!$B$1:J401,3,0)</f>
        <v>#N/A</v>
      </c>
      <c r="G251" s="19" t="e">
        <f t="shared" si="35"/>
        <v>#N/A</v>
      </c>
      <c r="H251" t="e">
        <f>VLOOKUP(C251,Лист1!$B$1:$N$198,4,0)</f>
        <v>#N/A</v>
      </c>
      <c r="J251" t="s">
        <v>18</v>
      </c>
      <c r="K251">
        <v>156</v>
      </c>
      <c r="L251" t="s">
        <v>10</v>
      </c>
      <c r="M251" t="s">
        <v>19</v>
      </c>
      <c r="N251" t="s">
        <v>13</v>
      </c>
      <c r="U251" s="4"/>
      <c r="V251" s="4"/>
      <c r="W251"/>
      <c r="Y251" s="1" t="s">
        <v>78</v>
      </c>
      <c r="Z251" s="3" t="s">
        <v>182</v>
      </c>
      <c r="AA251" s="2" t="e">
        <f>VLOOKUP(C251,Лист1!$B$1:$N$92,10,0)</f>
        <v>#N/A</v>
      </c>
      <c r="AH251" t="e">
        <f>VLOOKUP(C251,Лист1!$B$3:$P$289,15,0)</f>
        <v>#N/A</v>
      </c>
    </row>
    <row r="252" spans="1:34" hidden="1" x14ac:dyDescent="0.25">
      <c r="A252" s="2"/>
      <c r="B252" t="e">
        <f>VLOOKUP(C252,Лист1!$B$1:$N$98,2,0)</f>
        <v>#N/A</v>
      </c>
      <c r="D252" s="5" t="e">
        <f>VLOOKUP(C252,Лист1!$B$2:$T$292,14,0)</f>
        <v>#N/A</v>
      </c>
      <c r="F252" s="19" t="e">
        <f>VLOOKUP(C252,Лист1!$B$1:J402,3,0)</f>
        <v>#N/A</v>
      </c>
      <c r="G252" s="19" t="e">
        <f t="shared" si="35"/>
        <v>#N/A</v>
      </c>
      <c r="H252" t="e">
        <f>VLOOKUP(C252,Лист1!$B$1:$N$198,4,0)</f>
        <v>#N/A</v>
      </c>
      <c r="J252" t="s">
        <v>18</v>
      </c>
      <c r="K252">
        <v>156</v>
      </c>
      <c r="L252" t="s">
        <v>10</v>
      </c>
      <c r="M252" t="s">
        <v>19</v>
      </c>
      <c r="N252" t="s">
        <v>13</v>
      </c>
      <c r="U252" s="4"/>
      <c r="V252" s="4"/>
      <c r="W252"/>
      <c r="Y252" s="1" t="s">
        <v>78</v>
      </c>
      <c r="Z252" s="3" t="s">
        <v>182</v>
      </c>
      <c r="AA252" s="2" t="e">
        <f>VLOOKUP(C252,Лист1!$B$1:$N$92,10,0)</f>
        <v>#N/A</v>
      </c>
      <c r="AH252" t="e">
        <f>VLOOKUP(C252,Лист1!$B$3:$P$289,15,0)</f>
        <v>#N/A</v>
      </c>
    </row>
    <row r="253" spans="1:34" hidden="1" x14ac:dyDescent="0.25">
      <c r="A253" s="2"/>
      <c r="B253" t="e">
        <f>VLOOKUP(C253,Лист1!$B$1:$N$98,2,0)</f>
        <v>#N/A</v>
      </c>
      <c r="D253" s="5" t="e">
        <f>VLOOKUP(C253,Лист1!$B$2:$T$292,14,0)</f>
        <v>#N/A</v>
      </c>
      <c r="F253" s="19" t="e">
        <f>VLOOKUP(C253,Лист1!$B$1:J403,3,0)</f>
        <v>#N/A</v>
      </c>
      <c r="G253" s="19" t="e">
        <f t="shared" si="35"/>
        <v>#N/A</v>
      </c>
      <c r="H253" t="e">
        <f>VLOOKUP(C253,Лист1!$B$1:$N$198,4,0)</f>
        <v>#N/A</v>
      </c>
      <c r="J253" t="s">
        <v>18</v>
      </c>
      <c r="K253">
        <v>156</v>
      </c>
      <c r="L253" t="s">
        <v>10</v>
      </c>
      <c r="M253" t="s">
        <v>19</v>
      </c>
      <c r="N253" t="s">
        <v>13</v>
      </c>
      <c r="U253" s="4"/>
      <c r="V253" s="4"/>
      <c r="W253"/>
      <c r="Y253" s="1" t="s">
        <v>78</v>
      </c>
      <c r="Z253" s="3" t="s">
        <v>182</v>
      </c>
      <c r="AA253" s="2" t="e">
        <f>VLOOKUP(C253,Лист1!$B$1:$N$92,10,0)</f>
        <v>#N/A</v>
      </c>
      <c r="AH253" t="e">
        <f>VLOOKUP(C253,Лист1!$B$3:$P$289,15,0)</f>
        <v>#N/A</v>
      </c>
    </row>
    <row r="254" spans="1:34" hidden="1" x14ac:dyDescent="0.25">
      <c r="A254" s="2"/>
      <c r="B254" t="e">
        <f>VLOOKUP(C254,Лист1!$B$1:$N$98,2,0)</f>
        <v>#N/A</v>
      </c>
      <c r="D254" s="5" t="e">
        <f>VLOOKUP(C254,Лист1!$B$2:$T$292,14,0)</f>
        <v>#N/A</v>
      </c>
      <c r="F254" s="19" t="e">
        <f>VLOOKUP(C254,Лист1!$B$1:J404,3,0)</f>
        <v>#N/A</v>
      </c>
      <c r="G254" s="19" t="e">
        <f t="shared" si="35"/>
        <v>#N/A</v>
      </c>
      <c r="H254" t="e">
        <f>VLOOKUP(C254,Лист1!$B$1:$N$198,4,0)</f>
        <v>#N/A</v>
      </c>
      <c r="J254" t="s">
        <v>18</v>
      </c>
      <c r="K254">
        <v>156</v>
      </c>
      <c r="L254" t="s">
        <v>10</v>
      </c>
      <c r="M254" t="s">
        <v>19</v>
      </c>
      <c r="N254" t="s">
        <v>13</v>
      </c>
      <c r="U254" s="4"/>
      <c r="V254" s="4"/>
      <c r="W254"/>
      <c r="Y254" s="1" t="s">
        <v>78</v>
      </c>
      <c r="Z254" s="3" t="s">
        <v>182</v>
      </c>
      <c r="AA254" s="2" t="e">
        <f>VLOOKUP(C254,Лист1!$B$1:$N$92,10,0)</f>
        <v>#N/A</v>
      </c>
      <c r="AH254" t="e">
        <f>VLOOKUP(C254,Лист1!$B$3:$P$289,15,0)</f>
        <v>#N/A</v>
      </c>
    </row>
    <row r="255" spans="1:34" hidden="1" x14ac:dyDescent="0.25">
      <c r="A255" s="2"/>
      <c r="B255" t="e">
        <f>VLOOKUP(C255,Лист1!$B$1:$N$98,2,0)</f>
        <v>#N/A</v>
      </c>
      <c r="D255" s="5" t="e">
        <f>VLOOKUP(C255,Лист1!$B$2:$T$292,14,0)</f>
        <v>#N/A</v>
      </c>
      <c r="F255" s="19" t="e">
        <f>VLOOKUP(C255,Лист1!$B$1:J405,3,0)</f>
        <v>#N/A</v>
      </c>
      <c r="G255" s="19" t="e">
        <f t="shared" si="35"/>
        <v>#N/A</v>
      </c>
      <c r="H255" t="e">
        <f>VLOOKUP(C255,Лист1!$B$1:$N$198,4,0)</f>
        <v>#N/A</v>
      </c>
      <c r="J255" t="s">
        <v>18</v>
      </c>
      <c r="K255">
        <v>156</v>
      </c>
      <c r="L255" t="s">
        <v>10</v>
      </c>
      <c r="M255" t="s">
        <v>19</v>
      </c>
      <c r="N255" t="s">
        <v>13</v>
      </c>
      <c r="U255" s="4"/>
      <c r="V255" s="4"/>
      <c r="W255"/>
      <c r="Y255" s="1" t="s">
        <v>78</v>
      </c>
      <c r="Z255" s="3" t="s">
        <v>182</v>
      </c>
      <c r="AA255" s="2" t="e">
        <f>VLOOKUP(C255,Лист1!$B$1:$N$92,10,0)</f>
        <v>#N/A</v>
      </c>
      <c r="AH255" t="e">
        <f>VLOOKUP(C255,Лист1!$B$3:$P$289,15,0)</f>
        <v>#N/A</v>
      </c>
    </row>
    <row r="256" spans="1:34" hidden="1" x14ac:dyDescent="0.25">
      <c r="A256" s="2"/>
      <c r="B256" t="e">
        <f>VLOOKUP(C256,Лист1!$B$1:$N$98,2,0)</f>
        <v>#N/A</v>
      </c>
      <c r="D256" s="5" t="e">
        <f>VLOOKUP(C256,Лист1!$B$2:$T$292,14,0)</f>
        <v>#N/A</v>
      </c>
      <c r="F256" s="19" t="e">
        <f>VLOOKUP(C256,Лист1!$B$1:J406,3,0)</f>
        <v>#N/A</v>
      </c>
      <c r="G256" s="19" t="e">
        <f t="shared" si="35"/>
        <v>#N/A</v>
      </c>
      <c r="H256" t="e">
        <f>VLOOKUP(C256,Лист1!$B$1:$N$198,4,0)</f>
        <v>#N/A</v>
      </c>
      <c r="J256" t="s">
        <v>18</v>
      </c>
      <c r="K256">
        <v>156</v>
      </c>
      <c r="L256" t="s">
        <v>10</v>
      </c>
      <c r="M256" t="s">
        <v>19</v>
      </c>
      <c r="N256" t="s">
        <v>13</v>
      </c>
      <c r="U256" s="4"/>
      <c r="V256" s="4"/>
      <c r="W256"/>
      <c r="Y256" s="1" t="s">
        <v>78</v>
      </c>
      <c r="Z256" s="3" t="s">
        <v>182</v>
      </c>
      <c r="AA256" s="2" t="e">
        <f>VLOOKUP(C256,Лист1!$B$1:$N$92,10,0)</f>
        <v>#N/A</v>
      </c>
      <c r="AH256" t="e">
        <f>VLOOKUP(C256,Лист1!$B$3:$P$289,15,0)</f>
        <v>#N/A</v>
      </c>
    </row>
    <row r="257" spans="1:34" hidden="1" x14ac:dyDescent="0.25">
      <c r="A257" s="2"/>
      <c r="B257" t="e">
        <f>VLOOKUP(C257,Лист1!$B$1:$N$98,2,0)</f>
        <v>#N/A</v>
      </c>
      <c r="D257" s="5" t="e">
        <f>VLOOKUP(C257,Лист1!$B$2:$T$292,14,0)</f>
        <v>#N/A</v>
      </c>
      <c r="F257" s="19" t="e">
        <f>VLOOKUP(C257,Лист1!$B$1:J407,3,0)</f>
        <v>#N/A</v>
      </c>
      <c r="G257" s="19" t="e">
        <f t="shared" si="35"/>
        <v>#N/A</v>
      </c>
      <c r="H257" t="e">
        <f>VLOOKUP(C257,Лист1!$B$1:$N$198,4,0)</f>
        <v>#N/A</v>
      </c>
      <c r="J257" t="s">
        <v>18</v>
      </c>
      <c r="K257">
        <v>156</v>
      </c>
      <c r="L257" t="s">
        <v>10</v>
      </c>
      <c r="M257" t="s">
        <v>19</v>
      </c>
      <c r="N257" t="s">
        <v>13</v>
      </c>
      <c r="U257" s="4"/>
      <c r="V257" s="4"/>
      <c r="W257"/>
      <c r="Y257" s="1" t="s">
        <v>78</v>
      </c>
      <c r="Z257" s="3" t="s">
        <v>182</v>
      </c>
      <c r="AA257" s="2" t="e">
        <f>VLOOKUP(C257,Лист1!$B$1:$N$92,10,0)</f>
        <v>#N/A</v>
      </c>
      <c r="AH257" t="e">
        <f>VLOOKUP(C257,Лист1!$B$3:$P$289,15,0)</f>
        <v>#N/A</v>
      </c>
    </row>
    <row r="258" spans="1:34" hidden="1" x14ac:dyDescent="0.25">
      <c r="A258" s="2"/>
      <c r="B258" t="e">
        <f>VLOOKUP(C258,Лист1!$B$1:$N$98,2,0)</f>
        <v>#N/A</v>
      </c>
      <c r="D258" s="5" t="e">
        <f>VLOOKUP(C258,Лист1!$B$2:$T$292,14,0)</f>
        <v>#N/A</v>
      </c>
      <c r="F258" s="19" t="e">
        <f>VLOOKUP(C258,Лист1!$B$1:J408,3,0)</f>
        <v>#N/A</v>
      </c>
      <c r="G258" s="19" t="e">
        <f t="shared" si="35"/>
        <v>#N/A</v>
      </c>
      <c r="H258" t="e">
        <f>VLOOKUP(C258,Лист1!$B$1:$N$198,4,0)</f>
        <v>#N/A</v>
      </c>
      <c r="J258" t="s">
        <v>18</v>
      </c>
      <c r="K258">
        <v>156</v>
      </c>
      <c r="L258" t="s">
        <v>10</v>
      </c>
      <c r="M258" t="s">
        <v>19</v>
      </c>
      <c r="N258" t="s">
        <v>13</v>
      </c>
      <c r="U258" s="4"/>
      <c r="V258" s="4"/>
      <c r="W258"/>
      <c r="Y258" s="1" t="s">
        <v>78</v>
      </c>
      <c r="Z258" s="3" t="s">
        <v>182</v>
      </c>
      <c r="AA258" s="2" t="e">
        <f>VLOOKUP(C258,Лист1!$B$1:$N$92,10,0)</f>
        <v>#N/A</v>
      </c>
      <c r="AH258" t="e">
        <f>VLOOKUP(C258,Лист1!$B$3:$P$289,15,0)</f>
        <v>#N/A</v>
      </c>
    </row>
    <row r="259" spans="1:34" hidden="1" x14ac:dyDescent="0.25">
      <c r="A259" s="2"/>
      <c r="B259" t="e">
        <f>VLOOKUP(C259,Лист1!$B$1:$N$98,2,0)</f>
        <v>#N/A</v>
      </c>
      <c r="D259" s="5" t="e">
        <f>VLOOKUP(C259,Лист1!$B$2:$T$292,14,0)</f>
        <v>#N/A</v>
      </c>
      <c r="F259" s="19" t="e">
        <f>VLOOKUP(C259,Лист1!$B$1:J409,3,0)</f>
        <v>#N/A</v>
      </c>
      <c r="G259" s="19" t="e">
        <f t="shared" si="35"/>
        <v>#N/A</v>
      </c>
      <c r="H259" t="e">
        <f>VLOOKUP(C259,Лист1!$B$1:$N$198,4,0)</f>
        <v>#N/A</v>
      </c>
      <c r="J259" t="s">
        <v>18</v>
      </c>
      <c r="K259">
        <v>156</v>
      </c>
      <c r="L259" t="s">
        <v>10</v>
      </c>
      <c r="M259" t="s">
        <v>19</v>
      </c>
      <c r="N259" t="s">
        <v>13</v>
      </c>
      <c r="U259" s="4"/>
      <c r="V259" s="4"/>
      <c r="W259"/>
      <c r="Y259" s="1" t="s">
        <v>78</v>
      </c>
      <c r="Z259" s="3" t="s">
        <v>182</v>
      </c>
      <c r="AA259" s="2" t="e">
        <f>VLOOKUP(C259,Лист1!$B$1:$N$92,10,0)</f>
        <v>#N/A</v>
      </c>
      <c r="AH259" t="e">
        <f>VLOOKUP(C259,Лист1!$B$3:$P$289,15,0)</f>
        <v>#N/A</v>
      </c>
    </row>
    <row r="260" spans="1:34" hidden="1" x14ac:dyDescent="0.25">
      <c r="A260" s="2"/>
      <c r="B260" t="e">
        <f>VLOOKUP(C260,Лист1!$B$1:$N$98,2,0)</f>
        <v>#N/A</v>
      </c>
      <c r="D260" s="5" t="e">
        <f>VLOOKUP(C260,Лист1!$B$2:$T$292,14,0)</f>
        <v>#N/A</v>
      </c>
      <c r="F260" s="19" t="e">
        <f>VLOOKUP(C260,Лист1!$B$1:J410,3,0)</f>
        <v>#N/A</v>
      </c>
      <c r="G260" s="19" t="e">
        <f t="shared" si="35"/>
        <v>#N/A</v>
      </c>
      <c r="H260" t="e">
        <f>VLOOKUP(C260,Лист1!$B$1:$N$198,4,0)</f>
        <v>#N/A</v>
      </c>
      <c r="J260" t="s">
        <v>18</v>
      </c>
      <c r="K260">
        <v>156</v>
      </c>
      <c r="L260" t="s">
        <v>10</v>
      </c>
      <c r="M260" t="s">
        <v>19</v>
      </c>
      <c r="N260" t="s">
        <v>13</v>
      </c>
      <c r="U260" s="4"/>
      <c r="V260" s="4"/>
      <c r="W260"/>
      <c r="Y260" s="1" t="s">
        <v>78</v>
      </c>
      <c r="Z260" s="3" t="s">
        <v>182</v>
      </c>
      <c r="AA260" s="2" t="e">
        <f>VLOOKUP(C260,Лист1!$B$1:$N$92,10,0)</f>
        <v>#N/A</v>
      </c>
      <c r="AH260" t="e">
        <f>VLOOKUP(C260,Лист1!$B$3:$P$289,15,0)</f>
        <v>#N/A</v>
      </c>
    </row>
    <row r="261" spans="1:34" hidden="1" x14ac:dyDescent="0.25">
      <c r="A261" s="2"/>
      <c r="B261" t="e">
        <f>VLOOKUP(C261,Лист1!$B$1:$N$98,2,0)</f>
        <v>#N/A</v>
      </c>
      <c r="D261" s="5" t="e">
        <f>VLOOKUP(C261,Лист1!$B$2:$T$292,14,0)</f>
        <v>#N/A</v>
      </c>
      <c r="F261" s="19" t="e">
        <f>VLOOKUP(C261,Лист1!$B$1:J411,3,0)</f>
        <v>#N/A</v>
      </c>
      <c r="G261" s="19" t="e">
        <f t="shared" si="35"/>
        <v>#N/A</v>
      </c>
      <c r="H261" t="e">
        <f>VLOOKUP(C261,Лист1!$B$1:$N$198,4,0)</f>
        <v>#N/A</v>
      </c>
      <c r="J261" t="s">
        <v>18</v>
      </c>
      <c r="K261">
        <v>156</v>
      </c>
      <c r="L261" t="s">
        <v>10</v>
      </c>
      <c r="M261" t="s">
        <v>19</v>
      </c>
      <c r="N261" t="s">
        <v>13</v>
      </c>
      <c r="U261" s="4"/>
      <c r="V261" s="4"/>
      <c r="W261"/>
      <c r="Y261" s="1" t="s">
        <v>78</v>
      </c>
      <c r="Z261" s="3" t="s">
        <v>182</v>
      </c>
      <c r="AA261" s="2" t="e">
        <f>VLOOKUP(C261,Лист1!$B$1:$N$92,10,0)</f>
        <v>#N/A</v>
      </c>
      <c r="AH261" t="e">
        <f>VLOOKUP(C261,Лист1!$B$3:$P$289,15,0)</f>
        <v>#N/A</v>
      </c>
    </row>
    <row r="262" spans="1:34" hidden="1" x14ac:dyDescent="0.25">
      <c r="A262" s="2"/>
      <c r="B262" t="e">
        <f>VLOOKUP(C262,Лист1!$B$1:$N$98,2,0)</f>
        <v>#N/A</v>
      </c>
      <c r="D262" s="5" t="e">
        <f>VLOOKUP(C262,Лист1!$B$2:$T$292,14,0)</f>
        <v>#N/A</v>
      </c>
      <c r="F262" s="19" t="e">
        <f>VLOOKUP(C262,Лист1!$B$1:J412,3,0)</f>
        <v>#N/A</v>
      </c>
      <c r="G262" s="19" t="e">
        <f t="shared" si="35"/>
        <v>#N/A</v>
      </c>
      <c r="H262" t="e">
        <f>VLOOKUP(C262,Лист1!$B$1:$N$198,4,0)</f>
        <v>#N/A</v>
      </c>
      <c r="J262" t="s">
        <v>18</v>
      </c>
      <c r="K262">
        <v>156</v>
      </c>
      <c r="L262" t="s">
        <v>10</v>
      </c>
      <c r="M262" t="s">
        <v>19</v>
      </c>
      <c r="N262" t="s">
        <v>13</v>
      </c>
      <c r="U262" s="4"/>
      <c r="V262" s="4"/>
      <c r="W262"/>
      <c r="Y262" s="1" t="s">
        <v>78</v>
      </c>
      <c r="Z262" s="3" t="s">
        <v>182</v>
      </c>
      <c r="AA262" s="2" t="e">
        <f>VLOOKUP(C262,Лист1!$B$1:$N$92,10,0)</f>
        <v>#N/A</v>
      </c>
      <c r="AH262" t="e">
        <f>VLOOKUP(C262,Лист1!$B$3:$P$289,15,0)</f>
        <v>#N/A</v>
      </c>
    </row>
    <row r="263" spans="1:34" hidden="1" x14ac:dyDescent="0.25">
      <c r="A263" s="2"/>
      <c r="B263" t="e">
        <f>VLOOKUP(C263,Лист1!$B$1:$N$98,2,0)</f>
        <v>#N/A</v>
      </c>
      <c r="D263" s="5" t="e">
        <f>VLOOKUP(C263,Лист1!$B$2:$T$292,14,0)</f>
        <v>#N/A</v>
      </c>
      <c r="F263" s="19" t="e">
        <f>VLOOKUP(C263,Лист1!$B$1:J413,3,0)</f>
        <v>#N/A</v>
      </c>
      <c r="G263" s="19" t="e">
        <f t="shared" si="35"/>
        <v>#N/A</v>
      </c>
      <c r="H263" t="e">
        <f>VLOOKUP(C263,Лист1!$B$1:$N$198,4,0)</f>
        <v>#N/A</v>
      </c>
      <c r="J263" t="s">
        <v>18</v>
      </c>
      <c r="K263">
        <v>156</v>
      </c>
      <c r="L263" t="s">
        <v>10</v>
      </c>
      <c r="M263" t="s">
        <v>19</v>
      </c>
      <c r="N263" t="s">
        <v>13</v>
      </c>
      <c r="U263" s="4"/>
      <c r="V263" s="4"/>
      <c r="W263"/>
      <c r="Y263" s="1" t="s">
        <v>78</v>
      </c>
      <c r="Z263" s="3" t="s">
        <v>182</v>
      </c>
      <c r="AA263" s="2" t="e">
        <f>VLOOKUP(C263,Лист1!$B$1:$N$92,10,0)</f>
        <v>#N/A</v>
      </c>
      <c r="AH263" t="e">
        <f>VLOOKUP(C263,Лист1!$B$3:$P$289,15,0)</f>
        <v>#N/A</v>
      </c>
    </row>
    <row r="264" spans="1:34" hidden="1" x14ac:dyDescent="0.25">
      <c r="A264" s="2"/>
      <c r="B264" t="e">
        <f>VLOOKUP(C264,Лист1!$B$1:$N$98,2,0)</f>
        <v>#N/A</v>
      </c>
      <c r="D264" s="5" t="e">
        <f>VLOOKUP(C264,Лист1!$B$2:$T$292,14,0)</f>
        <v>#N/A</v>
      </c>
      <c r="F264" s="19" t="e">
        <f>VLOOKUP(C264,Лист1!$B$1:J414,3,0)</f>
        <v>#N/A</v>
      </c>
      <c r="G264" s="19" t="e">
        <f t="shared" si="35"/>
        <v>#N/A</v>
      </c>
      <c r="H264" t="e">
        <f>VLOOKUP(C264,Лист1!$B$1:$N$198,4,0)</f>
        <v>#N/A</v>
      </c>
      <c r="J264" t="s">
        <v>18</v>
      </c>
      <c r="K264">
        <v>156</v>
      </c>
      <c r="L264" t="s">
        <v>10</v>
      </c>
      <c r="M264" t="s">
        <v>19</v>
      </c>
      <c r="N264" t="s">
        <v>13</v>
      </c>
      <c r="U264" s="4"/>
      <c r="V264" s="4"/>
      <c r="W264"/>
      <c r="Y264" s="1" t="s">
        <v>78</v>
      </c>
      <c r="Z264" s="3" t="s">
        <v>182</v>
      </c>
      <c r="AA264" s="2" t="e">
        <f>VLOOKUP(C264,Лист1!$B$1:$N$92,10,0)</f>
        <v>#N/A</v>
      </c>
      <c r="AH264" t="e">
        <f>VLOOKUP(C264,Лист1!$B$3:$P$289,15,0)</f>
        <v>#N/A</v>
      </c>
    </row>
    <row r="265" spans="1:34" hidden="1" x14ac:dyDescent="0.25">
      <c r="A265" s="2"/>
      <c r="B265" t="e">
        <f>VLOOKUP(C265,Лист1!$B$1:$N$98,2,0)</f>
        <v>#N/A</v>
      </c>
      <c r="D265" s="5" t="e">
        <f>VLOOKUP(C265,Лист1!$B$2:$T$292,14,0)</f>
        <v>#N/A</v>
      </c>
      <c r="F265" s="19" t="e">
        <f>VLOOKUP(C265,Лист1!$B$1:J415,3,0)</f>
        <v>#N/A</v>
      </c>
      <c r="G265" s="19" t="e">
        <f t="shared" si="35"/>
        <v>#N/A</v>
      </c>
      <c r="H265" t="e">
        <f>VLOOKUP(C265,Лист1!$B$1:$N$198,4,0)</f>
        <v>#N/A</v>
      </c>
      <c r="J265" t="s">
        <v>18</v>
      </c>
      <c r="K265">
        <v>156</v>
      </c>
      <c r="L265" t="s">
        <v>10</v>
      </c>
      <c r="M265" t="s">
        <v>19</v>
      </c>
      <c r="N265" t="s">
        <v>13</v>
      </c>
      <c r="U265" s="4"/>
      <c r="V265" s="4"/>
      <c r="W265"/>
      <c r="Y265" s="1" t="s">
        <v>78</v>
      </c>
      <c r="Z265" s="3" t="s">
        <v>182</v>
      </c>
      <c r="AA265" s="2" t="e">
        <f>VLOOKUP(C265,Лист1!$B$1:$N$92,10,0)</f>
        <v>#N/A</v>
      </c>
      <c r="AH265" t="e">
        <f>VLOOKUP(C265,Лист1!$B$3:$P$289,15,0)</f>
        <v>#N/A</v>
      </c>
    </row>
    <row r="266" spans="1:34" hidden="1" x14ac:dyDescent="0.25">
      <c r="A266" s="2"/>
      <c r="B266" t="e">
        <f>VLOOKUP(C266,Лист1!$B$1:$N$98,2,0)</f>
        <v>#N/A</v>
      </c>
      <c r="D266" s="5" t="e">
        <f>VLOOKUP(C266,Лист1!$B$2:$T$292,14,0)</f>
        <v>#N/A</v>
      </c>
      <c r="F266" s="19" t="e">
        <f>VLOOKUP(C266,Лист1!$B$1:J416,3,0)</f>
        <v>#N/A</v>
      </c>
      <c r="G266" s="19" t="e">
        <f t="shared" si="35"/>
        <v>#N/A</v>
      </c>
      <c r="H266" t="e">
        <f>VLOOKUP(C266,Лист1!$B$1:$N$198,4,0)</f>
        <v>#N/A</v>
      </c>
      <c r="J266" t="s">
        <v>18</v>
      </c>
      <c r="K266">
        <v>156</v>
      </c>
      <c r="L266" t="s">
        <v>10</v>
      </c>
      <c r="M266" t="s">
        <v>19</v>
      </c>
      <c r="N266" t="s">
        <v>13</v>
      </c>
      <c r="U266" s="4"/>
      <c r="V266" s="4"/>
      <c r="W266"/>
      <c r="Y266" s="1" t="s">
        <v>78</v>
      </c>
      <c r="Z266" s="3" t="s">
        <v>182</v>
      </c>
      <c r="AA266" s="2" t="e">
        <f>VLOOKUP(C266,Лист1!$B$1:$N$92,10,0)</f>
        <v>#N/A</v>
      </c>
      <c r="AH266" t="e">
        <f>VLOOKUP(C266,Лист1!$B$3:$P$289,15,0)</f>
        <v>#N/A</v>
      </c>
    </row>
    <row r="267" spans="1:34" hidden="1" x14ac:dyDescent="0.25">
      <c r="A267" s="2"/>
      <c r="B267" t="e">
        <f>VLOOKUP(C267,Лист1!$B$1:$N$98,2,0)</f>
        <v>#N/A</v>
      </c>
      <c r="D267" s="5" t="e">
        <f>VLOOKUP(C267,Лист1!$B$2:$T$292,14,0)</f>
        <v>#N/A</v>
      </c>
      <c r="F267" s="19" t="e">
        <f>VLOOKUP(C267,Лист1!$B$1:J417,3,0)</f>
        <v>#N/A</v>
      </c>
      <c r="G267" s="19" t="e">
        <f t="shared" si="35"/>
        <v>#N/A</v>
      </c>
      <c r="H267" t="e">
        <f>VLOOKUP(C267,Лист1!$B$1:$N$198,4,0)</f>
        <v>#N/A</v>
      </c>
      <c r="J267" t="s">
        <v>18</v>
      </c>
      <c r="K267">
        <v>156</v>
      </c>
      <c r="L267" t="s">
        <v>10</v>
      </c>
      <c r="M267" t="s">
        <v>19</v>
      </c>
      <c r="N267" t="s">
        <v>13</v>
      </c>
      <c r="U267" s="4"/>
      <c r="V267" s="4"/>
      <c r="W267"/>
      <c r="Y267" s="1" t="s">
        <v>78</v>
      </c>
      <c r="Z267" s="3" t="s">
        <v>182</v>
      </c>
      <c r="AA267" s="2" t="e">
        <f>VLOOKUP(C267,Лист1!$B$1:$N$92,10,0)</f>
        <v>#N/A</v>
      </c>
      <c r="AH267" t="e">
        <f>VLOOKUP(C267,Лист1!$B$3:$P$289,15,0)</f>
        <v>#N/A</v>
      </c>
    </row>
    <row r="268" spans="1:34" hidden="1" x14ac:dyDescent="0.25">
      <c r="A268" s="2"/>
      <c r="B268" t="e">
        <f>VLOOKUP(C268,Лист1!$B$1:$N$98,2,0)</f>
        <v>#N/A</v>
      </c>
      <c r="D268" s="5" t="e">
        <f>VLOOKUP(C268,Лист1!$B$2:$T$292,14,0)</f>
        <v>#N/A</v>
      </c>
      <c r="F268" s="19" t="e">
        <f>VLOOKUP(C268,Лист1!$B$1:J418,3,0)</f>
        <v>#N/A</v>
      </c>
      <c r="G268" s="19" t="e">
        <f t="shared" si="35"/>
        <v>#N/A</v>
      </c>
      <c r="H268" t="e">
        <f>VLOOKUP(C268,Лист1!$B$1:$N$198,4,0)</f>
        <v>#N/A</v>
      </c>
      <c r="J268" t="s">
        <v>18</v>
      </c>
      <c r="K268">
        <v>156</v>
      </c>
      <c r="L268" t="s">
        <v>10</v>
      </c>
      <c r="M268" t="s">
        <v>19</v>
      </c>
      <c r="N268" t="s">
        <v>13</v>
      </c>
      <c r="U268" s="4"/>
      <c r="V268" s="4"/>
      <c r="W268"/>
      <c r="Y268" s="1" t="s">
        <v>78</v>
      </c>
      <c r="Z268" s="3" t="s">
        <v>182</v>
      </c>
      <c r="AA268" s="2" t="e">
        <f>VLOOKUP(C268,Лист1!$B$1:$N$92,10,0)</f>
        <v>#N/A</v>
      </c>
      <c r="AH268" t="e">
        <f>VLOOKUP(C268,Лист1!$B$3:$P$289,15,0)</f>
        <v>#N/A</v>
      </c>
    </row>
    <row r="269" spans="1:34" hidden="1" x14ac:dyDescent="0.25">
      <c r="A269" s="2"/>
      <c r="B269" t="e">
        <f>VLOOKUP(C269,Лист1!$B$1:$N$98,2,0)</f>
        <v>#N/A</v>
      </c>
      <c r="D269" s="5" t="e">
        <f>VLOOKUP(C269,Лист1!$B$2:$T$292,14,0)</f>
        <v>#N/A</v>
      </c>
      <c r="F269" s="19" t="e">
        <f>VLOOKUP(C269,Лист1!$B$1:J419,3,0)</f>
        <v>#N/A</v>
      </c>
      <c r="G269" s="19" t="e">
        <f t="shared" si="35"/>
        <v>#N/A</v>
      </c>
      <c r="H269" t="e">
        <f>VLOOKUP(C269,Лист1!$B$1:$N$198,4,0)</f>
        <v>#N/A</v>
      </c>
      <c r="J269" t="s">
        <v>18</v>
      </c>
      <c r="K269">
        <v>156</v>
      </c>
      <c r="L269" t="s">
        <v>10</v>
      </c>
      <c r="M269" t="s">
        <v>19</v>
      </c>
      <c r="N269" t="s">
        <v>13</v>
      </c>
      <c r="U269" s="4"/>
      <c r="V269" s="4"/>
      <c r="W269"/>
      <c r="Y269" s="1" t="s">
        <v>78</v>
      </c>
      <c r="Z269" s="3" t="s">
        <v>182</v>
      </c>
      <c r="AA269" s="2" t="e">
        <f>VLOOKUP(C269,Лист1!$B$1:$N$92,10,0)</f>
        <v>#N/A</v>
      </c>
      <c r="AH269" t="e">
        <f>VLOOKUP(C269,Лист1!$B$3:$P$289,15,0)</f>
        <v>#N/A</v>
      </c>
    </row>
    <row r="270" spans="1:34" hidden="1" x14ac:dyDescent="0.25">
      <c r="A270" s="2"/>
      <c r="B270" t="e">
        <f>VLOOKUP(C270,Лист1!$B$1:$N$98,2,0)</f>
        <v>#N/A</v>
      </c>
      <c r="D270" s="5" t="e">
        <f>VLOOKUP(C270,Лист1!$B$2:$T$292,14,0)</f>
        <v>#N/A</v>
      </c>
      <c r="F270" s="19" t="e">
        <f>VLOOKUP(C270,Лист1!$B$1:J420,3,0)</f>
        <v>#N/A</v>
      </c>
      <c r="G270" s="19" t="e">
        <f t="shared" si="35"/>
        <v>#N/A</v>
      </c>
      <c r="H270" t="e">
        <f>VLOOKUP(C270,Лист1!$B$1:$N$198,4,0)</f>
        <v>#N/A</v>
      </c>
      <c r="J270" t="s">
        <v>18</v>
      </c>
      <c r="K270">
        <v>156</v>
      </c>
      <c r="L270" t="s">
        <v>10</v>
      </c>
      <c r="M270" t="s">
        <v>19</v>
      </c>
      <c r="N270" t="s">
        <v>13</v>
      </c>
      <c r="U270" s="4"/>
      <c r="V270" s="4"/>
      <c r="W270"/>
      <c r="Y270" s="1" t="s">
        <v>78</v>
      </c>
      <c r="Z270" s="3" t="s">
        <v>182</v>
      </c>
      <c r="AA270" s="2" t="e">
        <f>VLOOKUP(C270,Лист1!$B$1:$N$92,10,0)</f>
        <v>#N/A</v>
      </c>
      <c r="AH270" t="e">
        <f>VLOOKUP(C270,Лист1!$B$3:$P$289,15,0)</f>
        <v>#N/A</v>
      </c>
    </row>
    <row r="271" spans="1:34" hidden="1" x14ac:dyDescent="0.25">
      <c r="A271" s="2"/>
      <c r="B271" t="e">
        <f>VLOOKUP(C271,Лист1!$B$1:$N$98,2,0)</f>
        <v>#N/A</v>
      </c>
      <c r="D271" s="5" t="e">
        <f>VLOOKUP(C271,Лист1!$B$2:$T$292,14,0)</f>
        <v>#N/A</v>
      </c>
      <c r="F271" s="19" t="e">
        <f>VLOOKUP(C271,Лист1!$B$1:J421,3,0)</f>
        <v>#N/A</v>
      </c>
      <c r="G271" s="19" t="e">
        <f t="shared" si="35"/>
        <v>#N/A</v>
      </c>
      <c r="H271" t="e">
        <f>VLOOKUP(C271,Лист1!$B$1:$N$198,4,0)</f>
        <v>#N/A</v>
      </c>
      <c r="J271" t="s">
        <v>18</v>
      </c>
      <c r="K271">
        <v>156</v>
      </c>
      <c r="L271" t="s">
        <v>10</v>
      </c>
      <c r="M271" t="s">
        <v>19</v>
      </c>
      <c r="N271" t="s">
        <v>13</v>
      </c>
      <c r="U271" s="4"/>
      <c r="V271" s="4"/>
      <c r="W271"/>
      <c r="Y271" s="1" t="s">
        <v>78</v>
      </c>
      <c r="Z271" s="3" t="s">
        <v>182</v>
      </c>
      <c r="AA271" s="2" t="e">
        <f>VLOOKUP(C271,Лист1!$B$1:$N$92,10,0)</f>
        <v>#N/A</v>
      </c>
      <c r="AH271" t="e">
        <f>VLOOKUP(C271,Лист1!$B$3:$P$289,15,0)</f>
        <v>#N/A</v>
      </c>
    </row>
    <row r="272" spans="1:34" hidden="1" x14ac:dyDescent="0.25">
      <c r="A272" s="2"/>
      <c r="B272" t="e">
        <f>VLOOKUP(C272,Лист1!$B$1:$N$98,2,0)</f>
        <v>#N/A</v>
      </c>
      <c r="D272" s="5" t="e">
        <f>VLOOKUP(C272,Лист1!$B$2:$T$292,14,0)</f>
        <v>#N/A</v>
      </c>
      <c r="F272" s="19" t="e">
        <f>VLOOKUP(C272,Лист1!$B$1:J422,3,0)</f>
        <v>#N/A</v>
      </c>
      <c r="G272" s="19" t="e">
        <f t="shared" si="35"/>
        <v>#N/A</v>
      </c>
      <c r="H272" t="e">
        <f>VLOOKUP(C272,Лист1!$B$1:$N$198,4,0)</f>
        <v>#N/A</v>
      </c>
      <c r="J272" t="s">
        <v>18</v>
      </c>
      <c r="K272">
        <v>156</v>
      </c>
      <c r="L272" t="s">
        <v>10</v>
      </c>
      <c r="M272" t="s">
        <v>19</v>
      </c>
      <c r="N272" t="s">
        <v>13</v>
      </c>
      <c r="U272" s="4"/>
      <c r="V272" s="4"/>
      <c r="W272"/>
      <c r="Y272" s="1" t="s">
        <v>78</v>
      </c>
      <c r="Z272" s="3" t="s">
        <v>182</v>
      </c>
      <c r="AA272" s="2" t="e">
        <f>VLOOKUP(C272,Лист1!$B$1:$N$92,10,0)</f>
        <v>#N/A</v>
      </c>
      <c r="AH272" t="e">
        <f>VLOOKUP(C272,Лист1!$B$3:$P$289,15,0)</f>
        <v>#N/A</v>
      </c>
    </row>
    <row r="273" spans="1:34" hidden="1" x14ac:dyDescent="0.25">
      <c r="A273" s="2"/>
      <c r="B273" t="e">
        <f>VLOOKUP(C273,Лист1!$B$1:$N$98,2,0)</f>
        <v>#N/A</v>
      </c>
      <c r="D273" s="5" t="e">
        <f>VLOOKUP(C273,Лист1!$B$2:$T$292,14,0)</f>
        <v>#N/A</v>
      </c>
      <c r="F273" s="19" t="e">
        <f>VLOOKUP(C273,Лист1!$B$1:J423,3,0)</f>
        <v>#N/A</v>
      </c>
      <c r="G273" s="19" t="e">
        <f t="shared" si="35"/>
        <v>#N/A</v>
      </c>
      <c r="H273" t="e">
        <f>VLOOKUP(C273,Лист1!$B$1:$N$198,4,0)</f>
        <v>#N/A</v>
      </c>
      <c r="J273" t="s">
        <v>18</v>
      </c>
      <c r="K273">
        <v>156</v>
      </c>
      <c r="L273" t="s">
        <v>10</v>
      </c>
      <c r="M273" t="s">
        <v>19</v>
      </c>
      <c r="N273" t="s">
        <v>13</v>
      </c>
      <c r="U273" s="4"/>
      <c r="V273" s="4"/>
      <c r="W273"/>
      <c r="Y273" s="1" t="s">
        <v>78</v>
      </c>
      <c r="Z273" s="3" t="s">
        <v>182</v>
      </c>
      <c r="AA273" s="2" t="e">
        <f>VLOOKUP(C273,Лист1!$B$1:$N$92,10,0)</f>
        <v>#N/A</v>
      </c>
      <c r="AH273" t="e">
        <f>VLOOKUP(C273,Лист1!$B$3:$P$289,15,0)</f>
        <v>#N/A</v>
      </c>
    </row>
    <row r="274" spans="1:34" hidden="1" x14ac:dyDescent="0.25">
      <c r="A274" s="2"/>
      <c r="B274" t="e">
        <f>VLOOKUP(C274,Лист1!$B$1:$N$98,2,0)</f>
        <v>#N/A</v>
      </c>
      <c r="D274" s="5" t="e">
        <f>VLOOKUP(C274,Лист1!$B$2:$T$292,14,0)</f>
        <v>#N/A</v>
      </c>
      <c r="F274" s="19" t="e">
        <f>VLOOKUP(C274,Лист1!$B$1:J424,3,0)</f>
        <v>#N/A</v>
      </c>
      <c r="G274" s="19" t="e">
        <f t="shared" si="35"/>
        <v>#N/A</v>
      </c>
      <c r="H274" t="e">
        <f>VLOOKUP(C274,Лист1!$B$1:$N$198,4,0)</f>
        <v>#N/A</v>
      </c>
      <c r="J274" t="s">
        <v>18</v>
      </c>
      <c r="K274">
        <v>156</v>
      </c>
      <c r="L274" t="s">
        <v>10</v>
      </c>
      <c r="M274" t="s">
        <v>19</v>
      </c>
      <c r="N274" t="s">
        <v>13</v>
      </c>
      <c r="U274" s="4"/>
      <c r="V274" s="4"/>
      <c r="W274"/>
      <c r="Y274" s="1" t="s">
        <v>78</v>
      </c>
      <c r="Z274" s="3" t="s">
        <v>182</v>
      </c>
      <c r="AA274" s="2" t="e">
        <f>VLOOKUP(C274,Лист1!$B$1:$N$92,10,0)</f>
        <v>#N/A</v>
      </c>
      <c r="AH274" t="e">
        <f>VLOOKUP(C274,Лист1!$B$3:$P$289,15,0)</f>
        <v>#N/A</v>
      </c>
    </row>
    <row r="275" spans="1:34" hidden="1" x14ac:dyDescent="0.25">
      <c r="A275" s="2"/>
      <c r="B275" t="e">
        <f>VLOOKUP(C275,Лист1!$B$1:$N$98,2,0)</f>
        <v>#N/A</v>
      </c>
      <c r="D275" s="5" t="e">
        <f>VLOOKUP(C275,Лист1!$B$2:$T$292,14,0)</f>
        <v>#N/A</v>
      </c>
      <c r="F275" s="19" t="e">
        <f>VLOOKUP(C275,Лист1!$B$1:J425,3,0)</f>
        <v>#N/A</v>
      </c>
      <c r="G275" s="19" t="e">
        <f t="shared" si="35"/>
        <v>#N/A</v>
      </c>
      <c r="H275" t="e">
        <f>VLOOKUP(C275,Лист1!$B$1:$N$198,4,0)</f>
        <v>#N/A</v>
      </c>
      <c r="J275" t="s">
        <v>18</v>
      </c>
      <c r="K275">
        <v>156</v>
      </c>
      <c r="L275" t="s">
        <v>10</v>
      </c>
      <c r="M275" t="s">
        <v>19</v>
      </c>
      <c r="N275" t="s">
        <v>13</v>
      </c>
      <c r="U275" s="4"/>
      <c r="V275" s="4"/>
      <c r="W275"/>
      <c r="Y275" s="1" t="s">
        <v>78</v>
      </c>
      <c r="Z275" s="3" t="s">
        <v>182</v>
      </c>
      <c r="AA275" s="2" t="e">
        <f>VLOOKUP(C275,Лист1!$B$1:$N$92,10,0)</f>
        <v>#N/A</v>
      </c>
      <c r="AH275" t="e">
        <f>VLOOKUP(C275,Лист1!$B$3:$P$289,15,0)</f>
        <v>#N/A</v>
      </c>
    </row>
    <row r="276" spans="1:34" hidden="1" x14ac:dyDescent="0.25">
      <c r="A276" s="2"/>
      <c r="B276" t="e">
        <f>VLOOKUP(C276,Лист1!$B$1:$N$98,2,0)</f>
        <v>#N/A</v>
      </c>
      <c r="D276" s="5" t="e">
        <f>VLOOKUP(C276,Лист1!$B$2:$T$292,14,0)</f>
        <v>#N/A</v>
      </c>
      <c r="F276" s="19" t="e">
        <f>VLOOKUP(C276,Лист1!$B$1:J426,3,0)</f>
        <v>#N/A</v>
      </c>
      <c r="G276" s="19" t="e">
        <f t="shared" si="35"/>
        <v>#N/A</v>
      </c>
      <c r="H276" t="e">
        <f>VLOOKUP(C276,Лист1!$B$1:$N$198,4,0)</f>
        <v>#N/A</v>
      </c>
      <c r="J276" t="s">
        <v>18</v>
      </c>
      <c r="K276">
        <v>156</v>
      </c>
      <c r="L276" t="s">
        <v>10</v>
      </c>
      <c r="M276" t="s">
        <v>19</v>
      </c>
      <c r="N276" t="s">
        <v>13</v>
      </c>
      <c r="U276" s="4"/>
      <c r="V276" s="4"/>
      <c r="W276"/>
      <c r="Y276" s="1" t="s">
        <v>78</v>
      </c>
      <c r="Z276" s="3" t="s">
        <v>182</v>
      </c>
      <c r="AA276" s="2" t="e">
        <f>VLOOKUP(C276,Лист1!$B$1:$N$92,10,0)</f>
        <v>#N/A</v>
      </c>
      <c r="AH276" t="e">
        <f>VLOOKUP(C276,Лист1!$B$3:$P$289,15,0)</f>
        <v>#N/A</v>
      </c>
    </row>
    <row r="277" spans="1:34" hidden="1" x14ac:dyDescent="0.25">
      <c r="A277" s="2"/>
      <c r="B277" t="e">
        <f>VLOOKUP(C277,Лист1!$B$1:$N$98,2,0)</f>
        <v>#N/A</v>
      </c>
      <c r="D277" s="5" t="e">
        <f>VLOOKUP(C277,Лист1!$B$2:$T$292,14,0)</f>
        <v>#N/A</v>
      </c>
      <c r="F277" s="19" t="e">
        <f>VLOOKUP(C277,Лист1!$B$1:J427,3,0)</f>
        <v>#N/A</v>
      </c>
      <c r="G277" s="19" t="e">
        <f t="shared" si="35"/>
        <v>#N/A</v>
      </c>
      <c r="H277" t="e">
        <f>VLOOKUP(C277,Лист1!$B$1:$N$198,4,0)</f>
        <v>#N/A</v>
      </c>
      <c r="J277" t="s">
        <v>18</v>
      </c>
      <c r="K277">
        <v>156</v>
      </c>
      <c r="L277" t="s">
        <v>10</v>
      </c>
      <c r="M277" t="s">
        <v>19</v>
      </c>
      <c r="N277" t="s">
        <v>13</v>
      </c>
      <c r="U277" s="4"/>
      <c r="V277" s="4"/>
      <c r="W277"/>
      <c r="Y277" s="1" t="s">
        <v>78</v>
      </c>
      <c r="Z277" s="3" t="s">
        <v>182</v>
      </c>
      <c r="AA277" s="2" t="e">
        <f>VLOOKUP(C277,Лист1!$B$1:$N$92,10,0)</f>
        <v>#N/A</v>
      </c>
      <c r="AH277" t="e">
        <f>VLOOKUP(C277,Лист1!$B$3:$P$289,15,0)</f>
        <v>#N/A</v>
      </c>
    </row>
    <row r="278" spans="1:34" hidden="1" x14ac:dyDescent="0.25">
      <c r="A278" s="2"/>
      <c r="B278" t="e">
        <f>VLOOKUP(C278,Лист1!$B$1:$N$98,2,0)</f>
        <v>#N/A</v>
      </c>
      <c r="D278" s="5" t="e">
        <f>VLOOKUP(C278,Лист1!$B$2:$T$292,14,0)</f>
        <v>#N/A</v>
      </c>
      <c r="F278" s="19" t="e">
        <f>VLOOKUP(C278,Лист1!$B$1:J428,3,0)</f>
        <v>#N/A</v>
      </c>
      <c r="G278" s="19" t="e">
        <f t="shared" si="35"/>
        <v>#N/A</v>
      </c>
      <c r="H278" t="e">
        <f>VLOOKUP(C278,Лист1!$B$1:$N$198,4,0)</f>
        <v>#N/A</v>
      </c>
      <c r="J278" t="s">
        <v>18</v>
      </c>
      <c r="K278">
        <v>156</v>
      </c>
      <c r="L278" t="s">
        <v>10</v>
      </c>
      <c r="M278" t="s">
        <v>19</v>
      </c>
      <c r="N278" t="s">
        <v>13</v>
      </c>
      <c r="U278" s="4"/>
      <c r="V278" s="4"/>
      <c r="W278"/>
      <c r="Y278" s="1" t="s">
        <v>78</v>
      </c>
      <c r="Z278" s="3" t="s">
        <v>182</v>
      </c>
      <c r="AA278" s="2" t="e">
        <f>VLOOKUP(C278,Лист1!$B$1:$N$92,10,0)</f>
        <v>#N/A</v>
      </c>
      <c r="AH278" t="e">
        <f>VLOOKUP(C278,Лист1!$B$3:$P$289,15,0)</f>
        <v>#N/A</v>
      </c>
    </row>
    <row r="279" spans="1:34" hidden="1" x14ac:dyDescent="0.25">
      <c r="A279" s="2"/>
      <c r="B279" t="e">
        <f>VLOOKUP(C279,Лист1!$B$1:$N$98,2,0)</f>
        <v>#N/A</v>
      </c>
      <c r="D279" s="5" t="e">
        <f>VLOOKUP(C279,Лист1!$B$2:$T$292,14,0)</f>
        <v>#N/A</v>
      </c>
      <c r="F279" s="19" t="e">
        <f>VLOOKUP(C279,Лист1!$B$1:J429,3,0)</f>
        <v>#N/A</v>
      </c>
      <c r="G279" s="19" t="e">
        <f t="shared" si="35"/>
        <v>#N/A</v>
      </c>
      <c r="H279" t="e">
        <f>VLOOKUP(C279,Лист1!$B$1:$N$198,4,0)</f>
        <v>#N/A</v>
      </c>
      <c r="J279" t="s">
        <v>18</v>
      </c>
      <c r="K279">
        <v>156</v>
      </c>
      <c r="L279" t="s">
        <v>10</v>
      </c>
      <c r="M279" t="s">
        <v>19</v>
      </c>
      <c r="N279" t="s">
        <v>13</v>
      </c>
      <c r="U279" s="4"/>
      <c r="V279" s="4"/>
      <c r="W279"/>
      <c r="Y279" s="1" t="s">
        <v>78</v>
      </c>
      <c r="Z279" s="3" t="s">
        <v>182</v>
      </c>
      <c r="AA279" s="2" t="e">
        <f>VLOOKUP(C279,Лист1!$B$1:$N$92,10,0)</f>
        <v>#N/A</v>
      </c>
      <c r="AH279" t="e">
        <f>VLOOKUP(C279,Лист1!$B$3:$P$289,15,0)</f>
        <v>#N/A</v>
      </c>
    </row>
    <row r="280" spans="1:34" hidden="1" x14ac:dyDescent="0.25">
      <c r="A280" s="2"/>
      <c r="B280" t="e">
        <f>VLOOKUP(C280,Лист1!$B$1:$N$98,2,0)</f>
        <v>#N/A</v>
      </c>
      <c r="D280" s="5" t="e">
        <f>VLOOKUP(C280,Лист1!$B$2:$T$292,14,0)</f>
        <v>#N/A</v>
      </c>
      <c r="F280" s="19" t="e">
        <f>VLOOKUP(C280,Лист1!$B$1:J430,3,0)</f>
        <v>#N/A</v>
      </c>
      <c r="G280" s="19" t="e">
        <f t="shared" si="35"/>
        <v>#N/A</v>
      </c>
      <c r="H280" t="e">
        <f>VLOOKUP(C280,Лист1!$B$1:$N$198,4,0)</f>
        <v>#N/A</v>
      </c>
      <c r="J280" t="s">
        <v>18</v>
      </c>
      <c r="K280">
        <v>156</v>
      </c>
      <c r="L280" t="s">
        <v>10</v>
      </c>
      <c r="M280" t="s">
        <v>19</v>
      </c>
      <c r="N280" t="s">
        <v>13</v>
      </c>
      <c r="U280" s="4"/>
      <c r="V280" s="4"/>
      <c r="W280"/>
      <c r="Y280" s="1" t="s">
        <v>78</v>
      </c>
      <c r="Z280" s="3" t="s">
        <v>182</v>
      </c>
      <c r="AA280" s="2" t="e">
        <f>VLOOKUP(C280,Лист1!$B$1:$N$92,10,0)</f>
        <v>#N/A</v>
      </c>
      <c r="AH280" t="e">
        <f>VLOOKUP(C280,Лист1!$B$3:$P$289,15,0)</f>
        <v>#N/A</v>
      </c>
    </row>
    <row r="281" spans="1:34" hidden="1" x14ac:dyDescent="0.25">
      <c r="A281" s="2"/>
      <c r="B281" t="e">
        <f>VLOOKUP(C281,Лист1!$B$1:$N$98,2,0)</f>
        <v>#N/A</v>
      </c>
      <c r="D281" s="5" t="e">
        <f>VLOOKUP(C281,Лист1!$B$2:$T$292,14,0)</f>
        <v>#N/A</v>
      </c>
      <c r="F281" s="19" t="e">
        <f>VLOOKUP(C281,Лист1!$B$1:J431,3,0)</f>
        <v>#N/A</v>
      </c>
      <c r="G281" s="19" t="e">
        <f t="shared" si="35"/>
        <v>#N/A</v>
      </c>
      <c r="H281" t="e">
        <f>VLOOKUP(C281,Лист1!$B$1:$N$198,4,0)</f>
        <v>#N/A</v>
      </c>
      <c r="J281" t="s">
        <v>18</v>
      </c>
      <c r="K281">
        <v>156</v>
      </c>
      <c r="L281" t="s">
        <v>10</v>
      </c>
      <c r="M281" t="s">
        <v>19</v>
      </c>
      <c r="N281" t="s">
        <v>13</v>
      </c>
      <c r="U281" s="4"/>
      <c r="V281" s="4"/>
      <c r="W281"/>
      <c r="Y281" s="1" t="s">
        <v>78</v>
      </c>
      <c r="Z281" s="3" t="s">
        <v>182</v>
      </c>
      <c r="AA281" s="2" t="e">
        <f>VLOOKUP(C281,Лист1!$B$1:$N$92,10,0)</f>
        <v>#N/A</v>
      </c>
      <c r="AH281" t="e">
        <f>VLOOKUP(C281,Лист1!$B$3:$P$289,15,0)</f>
        <v>#N/A</v>
      </c>
    </row>
    <row r="282" spans="1:34" hidden="1" x14ac:dyDescent="0.25">
      <c r="A282" s="2"/>
      <c r="B282" t="e">
        <f>VLOOKUP(C282,Лист1!$B$1:$N$98,2,0)</f>
        <v>#N/A</v>
      </c>
      <c r="D282" s="5" t="e">
        <f>VLOOKUP(C282,Лист1!$B$2:$T$292,14,0)</f>
        <v>#N/A</v>
      </c>
      <c r="F282" s="19" t="e">
        <f>VLOOKUP(C282,Лист1!$B$1:J432,3,0)</f>
        <v>#N/A</v>
      </c>
      <c r="G282" s="19" t="e">
        <f t="shared" si="35"/>
        <v>#N/A</v>
      </c>
      <c r="H282" t="e">
        <f>VLOOKUP(C282,Лист1!$B$1:$N$198,4,0)</f>
        <v>#N/A</v>
      </c>
      <c r="J282" t="s">
        <v>18</v>
      </c>
      <c r="K282">
        <v>156</v>
      </c>
      <c r="L282" t="s">
        <v>10</v>
      </c>
      <c r="M282" t="s">
        <v>19</v>
      </c>
      <c r="N282" t="s">
        <v>13</v>
      </c>
      <c r="U282" s="4"/>
      <c r="V282" s="4"/>
      <c r="W282"/>
      <c r="Y282" s="1" t="s">
        <v>78</v>
      </c>
      <c r="Z282" s="3" t="s">
        <v>182</v>
      </c>
      <c r="AA282" s="2" t="e">
        <f>VLOOKUP(C282,Лист1!$B$1:$N$92,10,0)</f>
        <v>#N/A</v>
      </c>
      <c r="AH282" t="e">
        <f>VLOOKUP(C282,Лист1!$B$3:$P$289,15,0)</f>
        <v>#N/A</v>
      </c>
    </row>
    <row r="283" spans="1:34" hidden="1" x14ac:dyDescent="0.25">
      <c r="A283" s="2"/>
      <c r="B283" t="e">
        <f>VLOOKUP(C283,Лист1!$B$1:$N$98,2,0)</f>
        <v>#N/A</v>
      </c>
      <c r="D283" s="5" t="e">
        <f>VLOOKUP(C283,Лист1!$B$2:$T$292,14,0)</f>
        <v>#N/A</v>
      </c>
      <c r="F283" s="19" t="e">
        <f>VLOOKUP(C283,Лист1!$B$1:J433,3,0)</f>
        <v>#N/A</v>
      </c>
      <c r="G283" s="19" t="e">
        <f t="shared" si="35"/>
        <v>#N/A</v>
      </c>
      <c r="H283" t="e">
        <f>VLOOKUP(C283,Лист1!$B$1:$N$198,4,0)</f>
        <v>#N/A</v>
      </c>
      <c r="J283" t="s">
        <v>18</v>
      </c>
      <c r="K283">
        <v>156</v>
      </c>
      <c r="L283" t="s">
        <v>10</v>
      </c>
      <c r="M283" t="s">
        <v>19</v>
      </c>
      <c r="N283" t="s">
        <v>13</v>
      </c>
      <c r="U283" s="4"/>
      <c r="V283" s="4"/>
      <c r="W283"/>
      <c r="Y283" s="1" t="s">
        <v>78</v>
      </c>
      <c r="Z283" s="3" t="s">
        <v>182</v>
      </c>
      <c r="AA283" s="2" t="e">
        <f>VLOOKUP(C283,Лист1!$B$1:$N$92,10,0)</f>
        <v>#N/A</v>
      </c>
      <c r="AH283" t="e">
        <f>VLOOKUP(C283,Лист1!$B$3:$P$289,15,0)</f>
        <v>#N/A</v>
      </c>
    </row>
    <row r="284" spans="1:34" hidden="1" x14ac:dyDescent="0.25">
      <c r="A284" s="2"/>
      <c r="B284" t="e">
        <f>VLOOKUP(C284,Лист1!$B$1:$N$98,2,0)</f>
        <v>#N/A</v>
      </c>
      <c r="D284" s="5" t="e">
        <f>VLOOKUP(C284,Лист1!$B$2:$T$292,14,0)</f>
        <v>#N/A</v>
      </c>
      <c r="F284" s="19" t="e">
        <f>VLOOKUP(C284,Лист1!$B$1:J434,3,0)</f>
        <v>#N/A</v>
      </c>
      <c r="G284" s="19" t="e">
        <f t="shared" si="35"/>
        <v>#N/A</v>
      </c>
      <c r="H284" t="e">
        <f>VLOOKUP(C284,Лист1!$B$1:$N$198,4,0)</f>
        <v>#N/A</v>
      </c>
      <c r="J284" t="s">
        <v>18</v>
      </c>
      <c r="K284">
        <v>156</v>
      </c>
      <c r="L284" t="s">
        <v>10</v>
      </c>
      <c r="M284" t="s">
        <v>19</v>
      </c>
      <c r="N284" t="s">
        <v>13</v>
      </c>
      <c r="U284" s="4"/>
      <c r="V284" s="4"/>
      <c r="W284"/>
      <c r="Y284" s="1" t="s">
        <v>78</v>
      </c>
      <c r="Z284" s="3" t="s">
        <v>182</v>
      </c>
      <c r="AA284" s="2" t="e">
        <f>VLOOKUP(C284,Лист1!$B$1:$N$92,10,0)</f>
        <v>#N/A</v>
      </c>
      <c r="AH284" t="e">
        <f>VLOOKUP(C284,Лист1!$B$3:$P$289,15,0)</f>
        <v>#N/A</v>
      </c>
    </row>
    <row r="285" spans="1:34" hidden="1" x14ac:dyDescent="0.25">
      <c r="A285" s="2"/>
      <c r="B285" t="e">
        <f>VLOOKUP(C285,Лист1!$B$1:$N$98,2,0)</f>
        <v>#N/A</v>
      </c>
      <c r="D285" s="5" t="e">
        <f>VLOOKUP(C285,Лист1!$B$2:$T$292,14,0)</f>
        <v>#N/A</v>
      </c>
      <c r="F285" s="19" t="e">
        <f>VLOOKUP(C285,Лист1!$B$1:J435,3,0)</f>
        <v>#N/A</v>
      </c>
      <c r="G285" s="19" t="e">
        <f t="shared" si="35"/>
        <v>#N/A</v>
      </c>
      <c r="H285" t="e">
        <f>VLOOKUP(C285,Лист1!$B$1:$N$198,4,0)</f>
        <v>#N/A</v>
      </c>
      <c r="J285" t="s">
        <v>18</v>
      </c>
      <c r="K285">
        <v>156</v>
      </c>
      <c r="L285" t="s">
        <v>10</v>
      </c>
      <c r="M285" t="s">
        <v>19</v>
      </c>
      <c r="N285" t="s">
        <v>13</v>
      </c>
      <c r="U285" s="4"/>
      <c r="V285" s="4"/>
      <c r="W285"/>
      <c r="Y285" s="1" t="s">
        <v>78</v>
      </c>
      <c r="Z285" s="3" t="s">
        <v>182</v>
      </c>
      <c r="AA285" s="2" t="e">
        <f>VLOOKUP(C285,Лист1!$B$1:$N$92,10,0)</f>
        <v>#N/A</v>
      </c>
      <c r="AH285" t="e">
        <f>VLOOKUP(C285,Лист1!$B$3:$P$289,15,0)</f>
        <v>#N/A</v>
      </c>
    </row>
    <row r="286" spans="1:34" hidden="1" x14ac:dyDescent="0.25">
      <c r="A286" s="2"/>
      <c r="B286" t="e">
        <f>VLOOKUP(C286,Лист1!$B$1:$N$98,2,0)</f>
        <v>#N/A</v>
      </c>
      <c r="D286" s="5" t="e">
        <f>VLOOKUP(C286,Лист1!$B$2:$T$292,14,0)</f>
        <v>#N/A</v>
      </c>
      <c r="F286" s="19" t="e">
        <f>VLOOKUP(C286,Лист1!$B$1:J436,3,0)</f>
        <v>#N/A</v>
      </c>
      <c r="G286" s="19" t="e">
        <f t="shared" si="35"/>
        <v>#N/A</v>
      </c>
      <c r="H286" t="e">
        <f>VLOOKUP(C286,Лист1!$B$1:$N$198,4,0)</f>
        <v>#N/A</v>
      </c>
      <c r="J286" t="s">
        <v>18</v>
      </c>
      <c r="K286">
        <v>156</v>
      </c>
      <c r="L286" t="s">
        <v>10</v>
      </c>
      <c r="M286" t="s">
        <v>19</v>
      </c>
      <c r="N286" t="s">
        <v>13</v>
      </c>
      <c r="U286" s="4"/>
      <c r="V286" s="4"/>
      <c r="W286"/>
      <c r="Y286" s="1" t="s">
        <v>78</v>
      </c>
      <c r="Z286" s="3" t="s">
        <v>182</v>
      </c>
      <c r="AA286" s="2" t="e">
        <f>VLOOKUP(C286,Лист1!$B$1:$N$92,10,0)</f>
        <v>#N/A</v>
      </c>
      <c r="AH286" t="e">
        <f>VLOOKUP(C286,Лист1!$B$3:$P$289,15,0)</f>
        <v>#N/A</v>
      </c>
    </row>
    <row r="287" spans="1:34" hidden="1" x14ac:dyDescent="0.25">
      <c r="A287" s="2"/>
      <c r="B287" t="e">
        <f>VLOOKUP(C287,Лист1!$B$1:$N$98,2,0)</f>
        <v>#N/A</v>
      </c>
      <c r="D287" s="5" t="e">
        <f>VLOOKUP(C287,Лист1!$B$2:$T$292,14,0)</f>
        <v>#N/A</v>
      </c>
      <c r="F287" s="19" t="e">
        <f>VLOOKUP(C287,Лист1!$B$1:J437,3,0)</f>
        <v>#N/A</v>
      </c>
      <c r="G287" s="19" t="e">
        <f t="shared" si="35"/>
        <v>#N/A</v>
      </c>
      <c r="H287" t="e">
        <f>VLOOKUP(C287,Лист1!$B$1:$N$198,4,0)</f>
        <v>#N/A</v>
      </c>
      <c r="J287" t="s">
        <v>18</v>
      </c>
      <c r="K287">
        <v>156</v>
      </c>
      <c r="L287" t="s">
        <v>10</v>
      </c>
      <c r="M287" t="s">
        <v>19</v>
      </c>
      <c r="N287" t="s">
        <v>13</v>
      </c>
      <c r="U287" s="4"/>
      <c r="V287" s="4"/>
      <c r="W287"/>
      <c r="Y287" s="1" t="s">
        <v>78</v>
      </c>
      <c r="Z287" s="3" t="s">
        <v>182</v>
      </c>
      <c r="AA287" s="2" t="e">
        <f>VLOOKUP(C287,Лист1!$B$1:$N$92,10,0)</f>
        <v>#N/A</v>
      </c>
      <c r="AH287" t="e">
        <f>VLOOKUP(C287,Лист1!$B$3:$P$289,15,0)</f>
        <v>#N/A</v>
      </c>
    </row>
    <row r="288" spans="1:34" hidden="1" x14ac:dyDescent="0.25">
      <c r="A288" s="2"/>
      <c r="B288" t="e">
        <f>VLOOKUP(C288,Лист1!$B$1:$N$98,2,0)</f>
        <v>#N/A</v>
      </c>
      <c r="D288" s="5" t="e">
        <f>VLOOKUP(C288,Лист1!$B$2:$T$292,14,0)</f>
        <v>#N/A</v>
      </c>
      <c r="F288" s="19" t="e">
        <f>VLOOKUP(C288,Лист1!$B$1:J438,3,0)</f>
        <v>#N/A</v>
      </c>
      <c r="G288" s="19" t="e">
        <f t="shared" si="35"/>
        <v>#N/A</v>
      </c>
      <c r="H288" t="e">
        <f>VLOOKUP(C288,Лист1!$B$1:$N$198,4,0)</f>
        <v>#N/A</v>
      </c>
      <c r="J288" t="s">
        <v>18</v>
      </c>
      <c r="K288">
        <v>156</v>
      </c>
      <c r="L288" t="s">
        <v>10</v>
      </c>
      <c r="M288" t="s">
        <v>19</v>
      </c>
      <c r="N288" t="s">
        <v>13</v>
      </c>
      <c r="U288" s="4"/>
      <c r="V288" s="4"/>
      <c r="W288"/>
      <c r="Y288" s="1" t="s">
        <v>78</v>
      </c>
      <c r="Z288" s="3" t="s">
        <v>182</v>
      </c>
      <c r="AA288" s="2" t="e">
        <f>VLOOKUP(C288,Лист1!$B$1:$N$92,10,0)</f>
        <v>#N/A</v>
      </c>
      <c r="AH288" t="e">
        <f>VLOOKUP(C288,Лист1!$B$3:$P$289,15,0)</f>
        <v>#N/A</v>
      </c>
    </row>
    <row r="289" spans="1:34" hidden="1" x14ac:dyDescent="0.25">
      <c r="A289" s="2"/>
      <c r="B289" t="e">
        <f>VLOOKUP(C289,Лист1!$B$1:$N$98,2,0)</f>
        <v>#N/A</v>
      </c>
      <c r="D289" s="5" t="e">
        <f>VLOOKUP(C289,Лист1!$B$2:$T$292,14,0)</f>
        <v>#N/A</v>
      </c>
      <c r="F289" s="19" t="e">
        <f>VLOOKUP(C289,Лист1!$B$1:J439,3,0)</f>
        <v>#N/A</v>
      </c>
      <c r="G289" s="19" t="e">
        <f t="shared" si="35"/>
        <v>#N/A</v>
      </c>
      <c r="H289" t="e">
        <f>VLOOKUP(C289,Лист1!$B$1:$N$198,4,0)</f>
        <v>#N/A</v>
      </c>
      <c r="J289" t="s">
        <v>18</v>
      </c>
      <c r="K289">
        <v>156</v>
      </c>
      <c r="L289" t="s">
        <v>10</v>
      </c>
      <c r="M289" t="s">
        <v>19</v>
      </c>
      <c r="N289" t="s">
        <v>13</v>
      </c>
      <c r="U289" s="4"/>
      <c r="V289" s="4"/>
      <c r="W289"/>
      <c r="Y289" s="1" t="s">
        <v>78</v>
      </c>
      <c r="Z289" s="3" t="s">
        <v>182</v>
      </c>
      <c r="AA289" s="2" t="e">
        <f>VLOOKUP(C289,Лист1!$B$1:$N$92,10,0)</f>
        <v>#N/A</v>
      </c>
      <c r="AH289" t="e">
        <f>VLOOKUP(C289,Лист1!$B$3:$P$289,15,0)</f>
        <v>#N/A</v>
      </c>
    </row>
    <row r="290" spans="1:34" hidden="1" x14ac:dyDescent="0.25">
      <c r="A290" s="2"/>
      <c r="B290" t="e">
        <f>VLOOKUP(C290,Лист1!$B$1:$N$98,2,0)</f>
        <v>#N/A</v>
      </c>
      <c r="D290" s="5" t="e">
        <f>VLOOKUP(C290,Лист1!$B$2:$T$292,14,0)</f>
        <v>#N/A</v>
      </c>
      <c r="F290" s="19" t="e">
        <f>VLOOKUP(C290,Лист1!$B$1:J440,3,0)</f>
        <v>#N/A</v>
      </c>
      <c r="G290" s="19" t="e">
        <f t="shared" si="35"/>
        <v>#N/A</v>
      </c>
      <c r="H290" t="e">
        <f>VLOOKUP(C290,Лист1!$B$1:$N$198,4,0)</f>
        <v>#N/A</v>
      </c>
      <c r="J290" t="s">
        <v>18</v>
      </c>
      <c r="K290">
        <v>156</v>
      </c>
      <c r="L290" t="s">
        <v>10</v>
      </c>
      <c r="M290" t="s">
        <v>19</v>
      </c>
      <c r="N290" t="s">
        <v>13</v>
      </c>
      <c r="U290" s="4"/>
      <c r="V290" s="4"/>
      <c r="W290"/>
      <c r="Y290" s="1" t="s">
        <v>78</v>
      </c>
      <c r="Z290" s="3" t="s">
        <v>182</v>
      </c>
      <c r="AA290" s="2" t="e">
        <f>VLOOKUP(C290,Лист1!$B$1:$N$92,10,0)</f>
        <v>#N/A</v>
      </c>
      <c r="AH290" t="e">
        <f>VLOOKUP(C290,Лист1!$B$3:$P$289,15,0)</f>
        <v>#N/A</v>
      </c>
    </row>
    <row r="291" spans="1:34" hidden="1" x14ac:dyDescent="0.25">
      <c r="A291" s="2"/>
      <c r="B291" t="e">
        <f>VLOOKUP(C291,Лист1!$B$1:$N$98,2,0)</f>
        <v>#N/A</v>
      </c>
      <c r="D291" s="5" t="e">
        <f>VLOOKUP(C291,Лист1!$B$2:$T$292,14,0)</f>
        <v>#N/A</v>
      </c>
      <c r="F291" s="19" t="e">
        <f>VLOOKUP(C291,Лист1!$B$1:J441,3,0)</f>
        <v>#N/A</v>
      </c>
      <c r="G291" s="19" t="e">
        <f t="shared" si="35"/>
        <v>#N/A</v>
      </c>
      <c r="H291" t="e">
        <f>VLOOKUP(C291,Лист1!$B$1:$N$198,4,0)</f>
        <v>#N/A</v>
      </c>
      <c r="J291" t="s">
        <v>18</v>
      </c>
      <c r="K291">
        <v>156</v>
      </c>
      <c r="L291" t="s">
        <v>10</v>
      </c>
      <c r="M291" t="s">
        <v>19</v>
      </c>
      <c r="N291" t="s">
        <v>13</v>
      </c>
      <c r="U291" s="4"/>
      <c r="V291" s="4"/>
      <c r="W291"/>
      <c r="Y291" s="1" t="s">
        <v>78</v>
      </c>
      <c r="Z291" s="3" t="s">
        <v>182</v>
      </c>
      <c r="AA291" s="2" t="e">
        <f>VLOOKUP(C291,Лист1!$B$1:$N$92,10,0)</f>
        <v>#N/A</v>
      </c>
      <c r="AH291" t="e">
        <f>VLOOKUP(C291,Лист1!$B$3:$P$289,15,0)</f>
        <v>#N/A</v>
      </c>
    </row>
    <row r="292" spans="1:34" hidden="1" x14ac:dyDescent="0.25">
      <c r="A292" s="2"/>
      <c r="B292" t="e">
        <f>VLOOKUP(C292,Лист1!$B$1:$N$98,2,0)</f>
        <v>#N/A</v>
      </c>
      <c r="D292" s="5" t="e">
        <f>VLOOKUP(C292,Лист1!$B$2:$T$292,14,0)</f>
        <v>#N/A</v>
      </c>
      <c r="F292" s="19" t="e">
        <f>VLOOKUP(C292,Лист1!$B$1:J442,3,0)</f>
        <v>#N/A</v>
      </c>
      <c r="G292" s="19" t="e">
        <f t="shared" si="35"/>
        <v>#N/A</v>
      </c>
      <c r="H292" t="e">
        <f>VLOOKUP(C292,Лист1!$B$1:$N$198,4,0)</f>
        <v>#N/A</v>
      </c>
      <c r="J292" t="s">
        <v>18</v>
      </c>
      <c r="K292">
        <v>156</v>
      </c>
      <c r="L292" t="s">
        <v>10</v>
      </c>
      <c r="M292" t="s">
        <v>19</v>
      </c>
      <c r="N292" t="s">
        <v>13</v>
      </c>
      <c r="U292" s="4"/>
      <c r="V292" s="4"/>
      <c r="W292"/>
      <c r="Y292" s="1" t="s">
        <v>78</v>
      </c>
      <c r="Z292" s="3" t="s">
        <v>182</v>
      </c>
      <c r="AA292" s="2" t="e">
        <f>VLOOKUP(C292,Лист1!$B$1:$N$92,10,0)</f>
        <v>#N/A</v>
      </c>
      <c r="AH292" t="e">
        <f>VLOOKUP(C292,Лист1!$B$3:$P$289,15,0)</f>
        <v>#N/A</v>
      </c>
    </row>
    <row r="293" spans="1:34" hidden="1" x14ac:dyDescent="0.25">
      <c r="A293" s="2"/>
      <c r="B293" t="e">
        <f>VLOOKUP(C293,Лист1!$B$1:$N$98,2,0)</f>
        <v>#N/A</v>
      </c>
      <c r="D293" s="5" t="e">
        <f>VLOOKUP(C293,Лист1!$B$2:$T$292,14,0)</f>
        <v>#N/A</v>
      </c>
      <c r="F293" s="19" t="e">
        <f>VLOOKUP(C293,Лист1!$B$1:J443,3,0)</f>
        <v>#N/A</v>
      </c>
      <c r="G293" s="19" t="e">
        <f t="shared" si="35"/>
        <v>#N/A</v>
      </c>
      <c r="H293" t="e">
        <f>VLOOKUP(C293,Лист1!$B$1:$N$198,4,0)</f>
        <v>#N/A</v>
      </c>
      <c r="J293" t="s">
        <v>18</v>
      </c>
      <c r="K293">
        <v>156</v>
      </c>
      <c r="L293" t="s">
        <v>10</v>
      </c>
      <c r="M293" t="s">
        <v>19</v>
      </c>
      <c r="N293" t="s">
        <v>13</v>
      </c>
      <c r="U293" s="4"/>
      <c r="V293" s="4"/>
      <c r="W293"/>
      <c r="Y293" s="1" t="s">
        <v>78</v>
      </c>
      <c r="Z293" s="3" t="s">
        <v>182</v>
      </c>
      <c r="AA293" s="2" t="e">
        <f>VLOOKUP(C293,Лист1!$B$1:$N$92,10,0)</f>
        <v>#N/A</v>
      </c>
      <c r="AH293" t="e">
        <f>VLOOKUP(C293,Лист1!$B$3:$P$289,15,0)</f>
        <v>#N/A</v>
      </c>
    </row>
    <row r="294" spans="1:34" hidden="1" x14ac:dyDescent="0.25">
      <c r="A294" s="2"/>
      <c r="B294" t="e">
        <f>VLOOKUP(C294,Лист1!$B$1:$N$98,2,0)</f>
        <v>#N/A</v>
      </c>
      <c r="D294" s="5" t="e">
        <f>VLOOKUP(C294,Лист1!$B$2:$T$292,14,0)</f>
        <v>#N/A</v>
      </c>
      <c r="F294" s="19" t="e">
        <f>VLOOKUP(C294,Лист1!$B$1:J444,3,0)</f>
        <v>#N/A</v>
      </c>
      <c r="G294" s="19" t="e">
        <f t="shared" si="35"/>
        <v>#N/A</v>
      </c>
      <c r="H294" t="e">
        <f>VLOOKUP(C294,Лист1!$B$1:$N$198,4,0)</f>
        <v>#N/A</v>
      </c>
      <c r="J294" t="s">
        <v>18</v>
      </c>
      <c r="K294">
        <v>156</v>
      </c>
      <c r="L294" t="s">
        <v>10</v>
      </c>
      <c r="M294" t="s">
        <v>19</v>
      </c>
      <c r="N294" t="s">
        <v>13</v>
      </c>
      <c r="U294" s="4"/>
      <c r="V294" s="4"/>
      <c r="W294"/>
      <c r="Y294" s="1" t="s">
        <v>78</v>
      </c>
      <c r="Z294" s="3" t="s">
        <v>182</v>
      </c>
      <c r="AA294" s="2" t="e">
        <f>VLOOKUP(C294,Лист1!$B$1:$N$92,10,0)</f>
        <v>#N/A</v>
      </c>
      <c r="AH294" t="e">
        <f>VLOOKUP(C294,Лист1!$B$3:$P$289,15,0)</f>
        <v>#N/A</v>
      </c>
    </row>
    <row r="295" spans="1:34" hidden="1" x14ac:dyDescent="0.25">
      <c r="A295" s="2"/>
      <c r="B295" t="e">
        <f>VLOOKUP(C295,Лист1!$B$1:$N$98,2,0)</f>
        <v>#N/A</v>
      </c>
      <c r="D295" s="5" t="e">
        <f>VLOOKUP(C295,Лист1!$B$2:$T$292,14,0)</f>
        <v>#N/A</v>
      </c>
      <c r="F295" s="19" t="e">
        <f>VLOOKUP(C295,Лист1!$B$1:J445,3,0)</f>
        <v>#N/A</v>
      </c>
      <c r="G295" s="19" t="e">
        <f t="shared" si="35"/>
        <v>#N/A</v>
      </c>
      <c r="H295" t="e">
        <f>VLOOKUP(C295,Лист1!$B$1:$N$198,4,0)</f>
        <v>#N/A</v>
      </c>
      <c r="J295" t="s">
        <v>18</v>
      </c>
      <c r="K295">
        <v>156</v>
      </c>
      <c r="L295" t="s">
        <v>10</v>
      </c>
      <c r="M295" t="s">
        <v>19</v>
      </c>
      <c r="N295" t="s">
        <v>13</v>
      </c>
      <c r="U295" s="4"/>
      <c r="V295" s="4"/>
      <c r="W295"/>
      <c r="Y295" s="1" t="s">
        <v>78</v>
      </c>
      <c r="Z295" s="3" t="s">
        <v>182</v>
      </c>
      <c r="AA295" s="2" t="e">
        <f>VLOOKUP(C295,Лист1!$B$1:$N$92,10,0)</f>
        <v>#N/A</v>
      </c>
      <c r="AH295" t="e">
        <f>VLOOKUP(C295,Лист1!$B$3:$P$289,15,0)</f>
        <v>#N/A</v>
      </c>
    </row>
    <row r="296" spans="1:34" hidden="1" x14ac:dyDescent="0.25">
      <c r="A296" s="2"/>
      <c r="B296" t="e">
        <f>VLOOKUP(C296,Лист1!$B$1:$N$98,2,0)</f>
        <v>#N/A</v>
      </c>
      <c r="D296" s="5" t="e">
        <f>VLOOKUP(C296,Лист1!$B$2:$T$292,14,0)</f>
        <v>#N/A</v>
      </c>
      <c r="F296" s="19" t="e">
        <f>VLOOKUP(C296,Лист1!$B$1:J446,3,0)</f>
        <v>#N/A</v>
      </c>
      <c r="G296" s="19" t="e">
        <f t="shared" si="35"/>
        <v>#N/A</v>
      </c>
      <c r="H296" t="e">
        <f>VLOOKUP(C296,Лист1!$B$1:$N$198,4,0)</f>
        <v>#N/A</v>
      </c>
      <c r="J296" t="s">
        <v>18</v>
      </c>
      <c r="K296">
        <v>156</v>
      </c>
      <c r="L296" t="s">
        <v>10</v>
      </c>
      <c r="M296" t="s">
        <v>19</v>
      </c>
      <c r="N296" t="s">
        <v>13</v>
      </c>
      <c r="U296" s="4"/>
      <c r="V296" s="4"/>
      <c r="W296"/>
      <c r="Y296" s="1" t="s">
        <v>78</v>
      </c>
      <c r="Z296" s="3" t="s">
        <v>182</v>
      </c>
      <c r="AA296" s="2" t="e">
        <f>VLOOKUP(C296,Лист1!$B$1:$N$92,10,0)</f>
        <v>#N/A</v>
      </c>
      <c r="AH296" t="e">
        <f>VLOOKUP(C296,Лист1!$B$3:$P$289,15,0)</f>
        <v>#N/A</v>
      </c>
    </row>
    <row r="297" spans="1:34" hidden="1" x14ac:dyDescent="0.25">
      <c r="A297" s="2"/>
      <c r="B297" t="e">
        <f>VLOOKUP(C297,Лист1!$B$1:$N$98,2,0)</f>
        <v>#N/A</v>
      </c>
      <c r="D297" s="5" t="e">
        <f>VLOOKUP(C297,Лист1!$B$2:$T$292,14,0)</f>
        <v>#N/A</v>
      </c>
      <c r="F297" s="19" t="e">
        <f>VLOOKUP(C297,Лист1!$B$1:J447,3,0)</f>
        <v>#N/A</v>
      </c>
      <c r="G297" s="19" t="e">
        <f t="shared" si="35"/>
        <v>#N/A</v>
      </c>
      <c r="H297" t="e">
        <f>VLOOKUP(C297,Лист1!$B$1:$N$198,4,0)</f>
        <v>#N/A</v>
      </c>
      <c r="J297" t="s">
        <v>18</v>
      </c>
      <c r="K297">
        <v>156</v>
      </c>
      <c r="L297" t="s">
        <v>10</v>
      </c>
      <c r="M297" t="s">
        <v>19</v>
      </c>
      <c r="N297" t="s">
        <v>13</v>
      </c>
      <c r="U297" s="4"/>
      <c r="V297" s="4"/>
      <c r="W297"/>
      <c r="Y297" s="1" t="s">
        <v>78</v>
      </c>
      <c r="Z297" s="3" t="s">
        <v>182</v>
      </c>
      <c r="AA297" s="2" t="e">
        <f>VLOOKUP(C297,Лист1!$B$1:$N$92,10,0)</f>
        <v>#N/A</v>
      </c>
      <c r="AH297" t="e">
        <f>VLOOKUP(C297,Лист1!$B$3:$P$289,15,0)</f>
        <v>#N/A</v>
      </c>
    </row>
    <row r="298" spans="1:34" hidden="1" x14ac:dyDescent="0.25">
      <c r="A298" s="2"/>
      <c r="D298" s="5" t="e">
        <f>VLOOKUP(C298,Лист1!$B$2:$T$292,14,0)</f>
        <v>#N/A</v>
      </c>
      <c r="F298" s="19" t="e">
        <f>VLOOKUP(C298,Лист1!$B$1:J448,3,0)</f>
        <v>#N/A</v>
      </c>
      <c r="G298" s="19" t="e">
        <f t="shared" si="35"/>
        <v>#N/A</v>
      </c>
      <c r="H298" t="e">
        <f>VLOOKUP(C298,Лист1!$B$1:$N$198,4,0)</f>
        <v>#N/A</v>
      </c>
      <c r="J298" t="s">
        <v>18</v>
      </c>
      <c r="K298">
        <v>156</v>
      </c>
      <c r="L298" t="s">
        <v>10</v>
      </c>
      <c r="M298" t="s">
        <v>19</v>
      </c>
      <c r="N298" t="s">
        <v>13</v>
      </c>
      <c r="U298" s="4"/>
      <c r="V298" s="4"/>
      <c r="W298"/>
      <c r="Y298" s="1" t="s">
        <v>78</v>
      </c>
      <c r="Z298" s="3" t="s">
        <v>182</v>
      </c>
      <c r="AA298" s="2" t="e">
        <f>VLOOKUP(C298,Лист1!$B$1:$N$92,10,0)</f>
        <v>#N/A</v>
      </c>
      <c r="AH298" t="e">
        <f>VLOOKUP(C298,Лист1!$B$3:$P$289,15,0)</f>
        <v>#N/A</v>
      </c>
    </row>
    <row r="299" spans="1:34" hidden="1" x14ac:dyDescent="0.25">
      <c r="A299" s="2"/>
      <c r="D299" s="5" t="e">
        <f>VLOOKUP(C299,Лист1!$B$2:$T$292,14,0)</f>
        <v>#N/A</v>
      </c>
      <c r="F299" s="19" t="e">
        <f>VLOOKUP(C299,Лист1!$B$1:J449,3,0)</f>
        <v>#N/A</v>
      </c>
      <c r="G299" s="19" t="e">
        <f t="shared" si="35"/>
        <v>#N/A</v>
      </c>
      <c r="H299" t="e">
        <f>VLOOKUP(C299,Лист1!$B$1:$N$198,4,0)</f>
        <v>#N/A</v>
      </c>
      <c r="J299" t="s">
        <v>18</v>
      </c>
      <c r="K299">
        <v>156</v>
      </c>
      <c r="L299" t="s">
        <v>10</v>
      </c>
      <c r="M299" t="s">
        <v>19</v>
      </c>
      <c r="N299" t="s">
        <v>13</v>
      </c>
      <c r="U299" s="4"/>
      <c r="V299" s="4"/>
      <c r="W299"/>
      <c r="Y299" s="1" t="s">
        <v>78</v>
      </c>
      <c r="Z299" s="3" t="s">
        <v>182</v>
      </c>
      <c r="AA299" s="2" t="e">
        <f>VLOOKUP(C299,Лист1!$B$1:$N$92,10,0)</f>
        <v>#N/A</v>
      </c>
      <c r="AH299" t="e">
        <f>VLOOKUP(C299,Лист1!$B$3:$P$289,15,0)</f>
        <v>#N/A</v>
      </c>
    </row>
    <row r="300" spans="1:34" hidden="1" x14ac:dyDescent="0.25">
      <c r="D300" s="5" t="e">
        <f>VLOOKUP(C300,Лист1!$B$2:$T$292,14,0)</f>
        <v>#N/A</v>
      </c>
      <c r="F300" s="19" t="e">
        <f>VLOOKUP(C300,Лист1!$B$1:J450,3,0)</f>
        <v>#N/A</v>
      </c>
      <c r="G300" s="19" t="e">
        <f t="shared" si="35"/>
        <v>#N/A</v>
      </c>
      <c r="H300" t="e">
        <f>VLOOKUP(C300,Лист1!$B$1:$N$198,4,0)</f>
        <v>#N/A</v>
      </c>
      <c r="J300" t="s">
        <v>18</v>
      </c>
      <c r="K300">
        <v>156</v>
      </c>
      <c r="L300" t="s">
        <v>10</v>
      </c>
      <c r="M300" t="s">
        <v>19</v>
      </c>
      <c r="N300" t="s">
        <v>13</v>
      </c>
      <c r="U300" s="4"/>
      <c r="V300" s="4"/>
      <c r="W300"/>
      <c r="Y300" s="1" t="s">
        <v>78</v>
      </c>
      <c r="Z300" s="3" t="s">
        <v>182</v>
      </c>
      <c r="AA300" s="2" t="e">
        <f>VLOOKUP(C300,Лист1!$B$1:$N$92,10,0)</f>
        <v>#N/A</v>
      </c>
      <c r="AH300" t="e">
        <f>VLOOKUP(C300,Лист1!$B$3:$P$289,15,0)</f>
        <v>#N/A</v>
      </c>
    </row>
    <row r="301" spans="1:34" hidden="1" x14ac:dyDescent="0.25">
      <c r="D301"/>
      <c r="F301" s="19" t="e">
        <f>VLOOKUP(C301,Лист1!$B$1:J451,3,0)</f>
        <v>#N/A</v>
      </c>
      <c r="G301" s="19" t="e">
        <f t="shared" si="35"/>
        <v>#N/A</v>
      </c>
      <c r="H301" t="e">
        <f>VLOOKUP(C301,Лист1!$B$1:$N$198,4,0)</f>
        <v>#N/A</v>
      </c>
      <c r="J301" t="s">
        <v>18</v>
      </c>
      <c r="L301" t="s">
        <v>10</v>
      </c>
      <c r="M301" t="s">
        <v>19</v>
      </c>
      <c r="N301" t="s">
        <v>13</v>
      </c>
      <c r="U301" s="4"/>
      <c r="V301" s="4"/>
      <c r="W301"/>
      <c r="Y301" s="1" t="s">
        <v>78</v>
      </c>
      <c r="Z301" s="3" t="s">
        <v>182</v>
      </c>
      <c r="AA301" s="2" t="e">
        <f>VLOOKUP(C301,Лист1!$B$1:$N$92,10,0)</f>
        <v>#N/A</v>
      </c>
      <c r="AH301" t="e">
        <f>VLOOKUP(C301,Лист1!$B$3:$P$289,15,0)</f>
        <v>#N/A</v>
      </c>
    </row>
    <row r="302" spans="1:34" hidden="1" x14ac:dyDescent="0.25">
      <c r="D302"/>
      <c r="F302" s="19" t="e">
        <f>VLOOKUP(C302,Лист1!$B$1:J452,3,0)</f>
        <v>#N/A</v>
      </c>
      <c r="G302" s="19" t="e">
        <f t="shared" si="35"/>
        <v>#N/A</v>
      </c>
      <c r="H302" t="e">
        <f>VLOOKUP(C302,Лист1!$B$1:$N$198,4,0)</f>
        <v>#N/A</v>
      </c>
      <c r="J302" t="s">
        <v>18</v>
      </c>
      <c r="L302" t="s">
        <v>10</v>
      </c>
      <c r="M302" t="s">
        <v>19</v>
      </c>
      <c r="N302" t="s">
        <v>13</v>
      </c>
      <c r="U302" s="4"/>
      <c r="V302" s="4"/>
      <c r="W302"/>
      <c r="Y302" s="1" t="s">
        <v>78</v>
      </c>
      <c r="Z302" s="3" t="s">
        <v>182</v>
      </c>
      <c r="AA302" s="2" t="e">
        <f>VLOOKUP(C302,Лист1!$B$1:$N$92,10,0)</f>
        <v>#N/A</v>
      </c>
      <c r="AH302" t="e">
        <f>VLOOKUP(C302,Лист1!$B$3:$P$289,15,0)</f>
        <v>#N/A</v>
      </c>
    </row>
    <row r="303" spans="1:34" hidden="1" x14ac:dyDescent="0.25">
      <c r="D303"/>
      <c r="F303" s="19" t="e">
        <f>VLOOKUP(C303,Лист1!$B$1:J453,3,0)</f>
        <v>#N/A</v>
      </c>
      <c r="G303" s="19"/>
      <c r="H303"/>
      <c r="L303" t="s">
        <v>10</v>
      </c>
      <c r="U303" s="4"/>
      <c r="V303" s="4"/>
      <c r="W303"/>
      <c r="Y303" s="1" t="s">
        <v>78</v>
      </c>
      <c r="Z303" s="3" t="s">
        <v>182</v>
      </c>
    </row>
    <row r="304" spans="1:34" hidden="1" x14ac:dyDescent="0.25">
      <c r="D304"/>
      <c r="F304" s="19" t="e">
        <f>VLOOKUP(C304,Лист1!$B$1:J454,3,0)</f>
        <v>#N/A</v>
      </c>
      <c r="G304" s="19"/>
      <c r="H304"/>
      <c r="L304" t="s">
        <v>10</v>
      </c>
      <c r="U304" s="4"/>
      <c r="V304" s="4"/>
      <c r="W304"/>
      <c r="Y304" s="1" t="s">
        <v>78</v>
      </c>
      <c r="Z304" s="3" t="s">
        <v>182</v>
      </c>
    </row>
    <row r="305" spans="1:26" hidden="1" x14ac:dyDescent="0.25">
      <c r="D305"/>
      <c r="G305" s="19"/>
      <c r="H305"/>
      <c r="L305" t="s">
        <v>10</v>
      </c>
      <c r="U305" s="4"/>
      <c r="V305" s="4"/>
      <c r="W305" t="e">
        <f>#REF!*E305</f>
        <v>#REF!</v>
      </c>
      <c r="Y305" s="1"/>
      <c r="Z305" s="3" t="s">
        <v>182</v>
      </c>
    </row>
    <row r="306" spans="1:26" hidden="1" x14ac:dyDescent="0.25">
      <c r="D306"/>
      <c r="G306" s="19"/>
      <c r="H306"/>
      <c r="L306" t="s">
        <v>10</v>
      </c>
      <c r="U306" s="4"/>
      <c r="V306" s="4"/>
      <c r="W306" t="e">
        <f>#REF!*E306</f>
        <v>#REF!</v>
      </c>
      <c r="Y306" s="1"/>
      <c r="Z306" s="3" t="s">
        <v>182</v>
      </c>
    </row>
    <row r="307" spans="1:26" hidden="1" x14ac:dyDescent="0.25">
      <c r="D307"/>
      <c r="G307" s="19"/>
      <c r="H307"/>
      <c r="U307" s="4"/>
      <c r="V307" s="4"/>
      <c r="W307" t="e">
        <f>#REF!*E307</f>
        <v>#REF!</v>
      </c>
      <c r="Y307" s="1"/>
      <c r="Z307" s="3" t="s">
        <v>182</v>
      </c>
    </row>
    <row r="308" spans="1:26" ht="20.25" hidden="1" customHeight="1" x14ac:dyDescent="0.25">
      <c r="D308"/>
      <c r="G308" s="19"/>
      <c r="H308"/>
      <c r="U308" s="4"/>
      <c r="V308" s="4"/>
      <c r="W308" t="e">
        <f>#REF!*E308</f>
        <v>#REF!</v>
      </c>
      <c r="Y308" s="1"/>
      <c r="Z308" s="3" t="s">
        <v>182</v>
      </c>
    </row>
    <row r="309" spans="1:26" ht="20.25" customHeight="1" x14ac:dyDescent="0.25">
      <c r="A309" s="2"/>
      <c r="D309"/>
      <c r="G309" s="19"/>
      <c r="H309"/>
      <c r="U309" s="4"/>
      <c r="V309" s="4"/>
      <c r="Y309" s="1"/>
    </row>
    <row r="310" spans="1:26" x14ac:dyDescent="0.25">
      <c r="A310" s="2"/>
      <c r="D310"/>
      <c r="G310" s="19"/>
      <c r="H310"/>
      <c r="U310" s="4"/>
      <c r="V310" s="4"/>
      <c r="Y310" s="1"/>
    </row>
    <row r="311" spans="1:26" x14ac:dyDescent="0.25">
      <c r="D311"/>
      <c r="G311" s="19"/>
      <c r="H311"/>
      <c r="U311" s="4"/>
      <c r="V311" s="4"/>
    </row>
    <row r="312" spans="1:26" x14ac:dyDescent="0.25">
      <c r="D312"/>
      <c r="G312" s="19"/>
      <c r="H312"/>
      <c r="U312" s="4"/>
      <c r="V312" s="4"/>
    </row>
    <row r="313" spans="1:26" x14ac:dyDescent="0.25">
      <c r="D313"/>
      <c r="G313" s="19"/>
      <c r="H313"/>
      <c r="U313" s="4"/>
      <c r="V313" s="4"/>
    </row>
    <row r="314" spans="1:26" x14ac:dyDescent="0.25">
      <c r="D314"/>
      <c r="G314" s="19"/>
      <c r="H314"/>
      <c r="U314" s="4"/>
      <c r="V314" s="4"/>
    </row>
    <row r="315" spans="1:26" x14ac:dyDescent="0.25">
      <c r="D315"/>
      <c r="G315" s="19"/>
      <c r="H315"/>
      <c r="U315" s="4"/>
      <c r="V315" s="4"/>
    </row>
    <row r="316" spans="1:26" x14ac:dyDescent="0.25">
      <c r="D316"/>
      <c r="G316" s="19"/>
      <c r="H316"/>
      <c r="U316" s="4"/>
      <c r="V316" s="4"/>
    </row>
    <row r="317" spans="1:26" x14ac:dyDescent="0.25">
      <c r="D317"/>
      <c r="G317" s="19"/>
      <c r="H317"/>
      <c r="U317" s="4"/>
      <c r="V317" s="4"/>
    </row>
    <row r="318" spans="1:26" x14ac:dyDescent="0.25">
      <c r="D318"/>
      <c r="G318" s="19"/>
      <c r="H318"/>
      <c r="U318" s="4"/>
      <c r="V318" s="4"/>
    </row>
    <row r="319" spans="1:26" x14ac:dyDescent="0.25">
      <c r="D319"/>
      <c r="G319" s="19"/>
      <c r="H319"/>
    </row>
    <row r="320" spans="1:26" x14ac:dyDescent="0.25">
      <c r="D320"/>
      <c r="G320" s="19"/>
      <c r="H320"/>
    </row>
    <row r="321" spans="4:8" x14ac:dyDescent="0.25">
      <c r="D321"/>
      <c r="G321" s="19"/>
      <c r="H321"/>
    </row>
    <row r="322" spans="4:8" x14ac:dyDescent="0.25">
      <c r="D322"/>
      <c r="G322" s="19"/>
      <c r="H322"/>
    </row>
    <row r="323" spans="4:8" x14ac:dyDescent="0.25">
      <c r="D323"/>
      <c r="G323" s="19"/>
      <c r="H323"/>
    </row>
    <row r="324" spans="4:8" x14ac:dyDescent="0.25">
      <c r="D324"/>
      <c r="G324" s="19"/>
      <c r="H324"/>
    </row>
    <row r="325" spans="4:8" x14ac:dyDescent="0.25">
      <c r="D325"/>
      <c r="G325" s="19"/>
      <c r="H325"/>
    </row>
    <row r="326" spans="4:8" x14ac:dyDescent="0.25">
      <c r="D326"/>
      <c r="G326" s="19"/>
      <c r="H326"/>
    </row>
    <row r="327" spans="4:8" x14ac:dyDescent="0.25">
      <c r="D327"/>
      <c r="G327" s="19"/>
      <c r="H327"/>
    </row>
    <row r="328" spans="4:8" x14ac:dyDescent="0.25">
      <c r="D328"/>
      <c r="G328" s="19"/>
      <c r="H328"/>
    </row>
    <row r="329" spans="4:8" x14ac:dyDescent="0.25">
      <c r="D329"/>
      <c r="G329" s="19"/>
      <c r="H329"/>
    </row>
    <row r="330" spans="4:8" x14ac:dyDescent="0.25">
      <c r="D330"/>
      <c r="G330" s="19"/>
      <c r="H330"/>
    </row>
    <row r="331" spans="4:8" x14ac:dyDescent="0.25">
      <c r="D331"/>
      <c r="G331" s="19"/>
      <c r="H331"/>
    </row>
    <row r="332" spans="4:8" x14ac:dyDescent="0.25">
      <c r="D332"/>
      <c r="G332" s="19"/>
      <c r="H332"/>
    </row>
    <row r="333" spans="4:8" x14ac:dyDescent="0.25">
      <c r="D333"/>
      <c r="G333" s="19"/>
      <c r="H333"/>
    </row>
    <row r="334" spans="4:8" x14ac:dyDescent="0.25">
      <c r="D334"/>
      <c r="G334" s="19"/>
      <c r="H334"/>
    </row>
    <row r="335" spans="4:8" x14ac:dyDescent="0.25">
      <c r="D335"/>
      <c r="G335" s="19"/>
      <c r="H335"/>
    </row>
    <row r="336" spans="4:8" x14ac:dyDescent="0.25">
      <c r="D336"/>
      <c r="G336" s="19"/>
      <c r="H336"/>
    </row>
    <row r="337" spans="4:8" x14ac:dyDescent="0.25">
      <c r="D337"/>
      <c r="G337" s="19"/>
      <c r="H337"/>
    </row>
    <row r="338" spans="4:8" x14ac:dyDescent="0.25">
      <c r="D338"/>
      <c r="G338" s="19"/>
      <c r="H338"/>
    </row>
    <row r="339" spans="4:8" x14ac:dyDescent="0.25">
      <c r="D339"/>
      <c r="G339" s="19"/>
      <c r="H339"/>
    </row>
    <row r="340" spans="4:8" x14ac:dyDescent="0.25">
      <c r="D340"/>
      <c r="G340" s="19"/>
      <c r="H340"/>
    </row>
    <row r="341" spans="4:8" x14ac:dyDescent="0.25">
      <c r="D341"/>
      <c r="G341" s="19"/>
      <c r="H341"/>
    </row>
    <row r="342" spans="4:8" x14ac:dyDescent="0.25">
      <c r="D342"/>
      <c r="G342" s="19"/>
      <c r="H342"/>
    </row>
    <row r="343" spans="4:8" x14ac:dyDescent="0.25">
      <c r="D343"/>
      <c r="G343" s="19"/>
      <c r="H343"/>
    </row>
    <row r="344" spans="4:8" x14ac:dyDescent="0.25">
      <c r="D344"/>
      <c r="G344" s="19"/>
      <c r="H344"/>
    </row>
    <row r="345" spans="4:8" x14ac:dyDescent="0.25">
      <c r="D345"/>
      <c r="G345" s="19"/>
      <c r="H345"/>
    </row>
    <row r="346" spans="4:8" x14ac:dyDescent="0.25">
      <c r="D346"/>
      <c r="G346" s="19"/>
      <c r="H346"/>
    </row>
    <row r="347" spans="4:8" x14ac:dyDescent="0.25">
      <c r="D347"/>
      <c r="G347" s="19"/>
      <c r="H347"/>
    </row>
    <row r="348" spans="4:8" x14ac:dyDescent="0.25">
      <c r="D348"/>
      <c r="G348" s="19"/>
      <c r="H348"/>
    </row>
    <row r="349" spans="4:8" x14ac:dyDescent="0.25">
      <c r="D349"/>
      <c r="G349" s="19"/>
      <c r="H349"/>
    </row>
    <row r="350" spans="4:8" x14ac:dyDescent="0.25">
      <c r="D350"/>
      <c r="G350" s="19"/>
      <c r="H350"/>
    </row>
    <row r="351" spans="4:8" x14ac:dyDescent="0.25">
      <c r="D351"/>
      <c r="G351" s="19"/>
      <c r="H351"/>
    </row>
    <row r="352" spans="4:8" x14ac:dyDescent="0.25">
      <c r="D352"/>
      <c r="G352" s="19"/>
      <c r="H352"/>
    </row>
    <row r="353" spans="4:8" x14ac:dyDescent="0.25">
      <c r="D353"/>
      <c r="G353" s="19"/>
      <c r="H353"/>
    </row>
    <row r="354" spans="4:8" x14ac:dyDescent="0.25">
      <c r="D354"/>
      <c r="G354" s="19"/>
      <c r="H354"/>
    </row>
    <row r="355" spans="4:8" x14ac:dyDescent="0.25">
      <c r="D355"/>
      <c r="G355" s="19"/>
      <c r="H355"/>
    </row>
    <row r="356" spans="4:8" x14ac:dyDescent="0.25">
      <c r="D356"/>
      <c r="G356" s="19"/>
      <c r="H356"/>
    </row>
    <row r="357" spans="4:8" x14ac:dyDescent="0.25">
      <c r="D357"/>
      <c r="G357" s="19"/>
      <c r="H357"/>
    </row>
    <row r="358" spans="4:8" x14ac:dyDescent="0.25">
      <c r="D358"/>
      <c r="G358" s="19"/>
      <c r="H358"/>
    </row>
    <row r="359" spans="4:8" x14ac:dyDescent="0.25">
      <c r="D359"/>
      <c r="G359" s="19"/>
      <c r="H359"/>
    </row>
    <row r="360" spans="4:8" x14ac:dyDescent="0.25">
      <c r="D360"/>
      <c r="G360" s="19"/>
      <c r="H360"/>
    </row>
    <row r="361" spans="4:8" x14ac:dyDescent="0.25">
      <c r="D361"/>
      <c r="G361" s="19"/>
      <c r="H361"/>
    </row>
    <row r="362" spans="4:8" x14ac:dyDescent="0.25">
      <c r="D362"/>
      <c r="G362" s="19"/>
      <c r="H362"/>
    </row>
    <row r="363" spans="4:8" x14ac:dyDescent="0.25">
      <c r="D363"/>
      <c r="G363" s="19"/>
      <c r="H363"/>
    </row>
    <row r="364" spans="4:8" x14ac:dyDescent="0.25">
      <c r="D364"/>
      <c r="G364" s="19"/>
      <c r="H364"/>
    </row>
    <row r="365" spans="4:8" x14ac:dyDescent="0.25">
      <c r="D365"/>
      <c r="G365" s="19"/>
      <c r="H365"/>
    </row>
    <row r="366" spans="4:8" x14ac:dyDescent="0.25">
      <c r="D366"/>
      <c r="G366" s="19"/>
      <c r="H366"/>
    </row>
    <row r="367" spans="4:8" x14ac:dyDescent="0.25">
      <c r="D367"/>
      <c r="G367" s="19"/>
      <c r="H367"/>
    </row>
    <row r="368" spans="4:8" x14ac:dyDescent="0.25">
      <c r="D368"/>
      <c r="G368" s="19"/>
      <c r="H368"/>
    </row>
    <row r="369" spans="4:8" x14ac:dyDescent="0.25">
      <c r="D369"/>
      <c r="G369" s="19"/>
      <c r="H369"/>
    </row>
    <row r="370" spans="4:8" x14ac:dyDescent="0.25">
      <c r="D370"/>
      <c r="G370" s="19"/>
      <c r="H370"/>
    </row>
    <row r="371" spans="4:8" x14ac:dyDescent="0.25">
      <c r="D371"/>
      <c r="G371" s="19"/>
      <c r="H371"/>
    </row>
    <row r="372" spans="4:8" x14ac:dyDescent="0.25">
      <c r="D372"/>
      <c r="G372" s="19"/>
      <c r="H372"/>
    </row>
    <row r="373" spans="4:8" x14ac:dyDescent="0.25">
      <c r="D373"/>
      <c r="G373" s="19"/>
      <c r="H373"/>
    </row>
    <row r="374" spans="4:8" x14ac:dyDescent="0.25">
      <c r="D374"/>
      <c r="G374" s="19"/>
      <c r="H374"/>
    </row>
    <row r="375" spans="4:8" x14ac:dyDescent="0.25">
      <c r="D375"/>
      <c r="G375" s="19"/>
      <c r="H375"/>
    </row>
    <row r="376" spans="4:8" x14ac:dyDescent="0.25">
      <c r="D376"/>
      <c r="G376" s="19"/>
      <c r="H376"/>
    </row>
    <row r="377" spans="4:8" x14ac:dyDescent="0.25">
      <c r="D377"/>
      <c r="G377" s="19"/>
      <c r="H377"/>
    </row>
    <row r="378" spans="4:8" x14ac:dyDescent="0.25">
      <c r="D378"/>
      <c r="G378" s="19"/>
      <c r="H378"/>
    </row>
    <row r="379" spans="4:8" x14ac:dyDescent="0.25">
      <c r="D379"/>
      <c r="G379" s="19"/>
      <c r="H379"/>
    </row>
    <row r="380" spans="4:8" x14ac:dyDescent="0.25">
      <c r="D380"/>
      <c r="G380" s="19"/>
      <c r="H380"/>
    </row>
    <row r="381" spans="4:8" x14ac:dyDescent="0.25">
      <c r="D381"/>
      <c r="G381" s="19"/>
      <c r="H381"/>
    </row>
    <row r="382" spans="4:8" x14ac:dyDescent="0.25">
      <c r="D382"/>
      <c r="G382" s="19"/>
      <c r="H382"/>
    </row>
    <row r="383" spans="4:8" x14ac:dyDescent="0.25">
      <c r="D383"/>
      <c r="G383" s="19"/>
      <c r="H383"/>
    </row>
    <row r="384" spans="4:8" x14ac:dyDescent="0.25">
      <c r="D384"/>
      <c r="G384" s="19"/>
      <c r="H384"/>
    </row>
    <row r="385" spans="4:8" x14ac:dyDescent="0.25">
      <c r="D385"/>
      <c r="G385" s="19"/>
      <c r="H385"/>
    </row>
    <row r="386" spans="4:8" x14ac:dyDescent="0.25">
      <c r="D386"/>
      <c r="G386" s="19"/>
      <c r="H386"/>
    </row>
    <row r="387" spans="4:8" x14ac:dyDescent="0.25">
      <c r="D387"/>
      <c r="G387" s="19"/>
      <c r="H387"/>
    </row>
    <row r="388" spans="4:8" x14ac:dyDescent="0.25">
      <c r="D388"/>
      <c r="G388" s="19"/>
      <c r="H388"/>
    </row>
    <row r="389" spans="4:8" x14ac:dyDescent="0.25">
      <c r="D389"/>
      <c r="G389" s="19"/>
      <c r="H389"/>
    </row>
    <row r="390" spans="4:8" x14ac:dyDescent="0.25">
      <c r="D390"/>
      <c r="G390" s="19"/>
      <c r="H390"/>
    </row>
    <row r="391" spans="4:8" x14ac:dyDescent="0.25">
      <c r="D391"/>
      <c r="G391" s="19"/>
      <c r="H391"/>
    </row>
    <row r="392" spans="4:8" x14ac:dyDescent="0.25">
      <c r="D392"/>
      <c r="G392" s="19"/>
      <c r="H392"/>
    </row>
    <row r="393" spans="4:8" x14ac:dyDescent="0.25">
      <c r="D393"/>
      <c r="G393" s="19"/>
      <c r="H393"/>
    </row>
    <row r="394" spans="4:8" x14ac:dyDescent="0.25">
      <c r="D394"/>
      <c r="G394" s="19"/>
      <c r="H394"/>
    </row>
    <row r="395" spans="4:8" x14ac:dyDescent="0.25">
      <c r="D395"/>
      <c r="G395" s="19"/>
      <c r="H395"/>
    </row>
    <row r="396" spans="4:8" x14ac:dyDescent="0.25">
      <c r="D396"/>
      <c r="G396" s="19"/>
      <c r="H396"/>
    </row>
    <row r="397" spans="4:8" x14ac:dyDescent="0.25">
      <c r="D397"/>
      <c r="G397" s="19"/>
      <c r="H397"/>
    </row>
    <row r="398" spans="4:8" x14ac:dyDescent="0.25">
      <c r="D398"/>
      <c r="G398" s="19"/>
      <c r="H398"/>
    </row>
    <row r="399" spans="4:8" x14ac:dyDescent="0.25">
      <c r="D399"/>
      <c r="G399" s="19"/>
      <c r="H399"/>
    </row>
    <row r="400" spans="4:8" x14ac:dyDescent="0.25">
      <c r="D400"/>
      <c r="G400" s="19"/>
      <c r="H400"/>
    </row>
    <row r="401" spans="4:8" x14ac:dyDescent="0.25">
      <c r="D401"/>
      <c r="G401" s="19"/>
      <c r="H401"/>
    </row>
    <row r="402" spans="4:8" x14ac:dyDescent="0.25">
      <c r="D402"/>
      <c r="G402" s="19"/>
      <c r="H402"/>
    </row>
    <row r="403" spans="4:8" x14ac:dyDescent="0.25">
      <c r="D403"/>
      <c r="G403" s="19"/>
      <c r="H403"/>
    </row>
    <row r="404" spans="4:8" x14ac:dyDescent="0.25">
      <c r="D404"/>
      <c r="G404" s="19"/>
      <c r="H404"/>
    </row>
    <row r="405" spans="4:8" x14ac:dyDescent="0.25">
      <c r="D405"/>
      <c r="G405" s="19"/>
      <c r="H405"/>
    </row>
    <row r="406" spans="4:8" x14ac:dyDescent="0.25">
      <c r="D406"/>
      <c r="G406" s="19"/>
      <c r="H406"/>
    </row>
    <row r="407" spans="4:8" x14ac:dyDescent="0.25">
      <c r="D407"/>
      <c r="G407" s="19"/>
      <c r="H407"/>
    </row>
    <row r="408" spans="4:8" x14ac:dyDescent="0.25">
      <c r="D408"/>
      <c r="G408" s="19"/>
      <c r="H408"/>
    </row>
    <row r="409" spans="4:8" x14ac:dyDescent="0.25">
      <c r="D409"/>
      <c r="G409" s="19"/>
      <c r="H409"/>
    </row>
    <row r="410" spans="4:8" x14ac:dyDescent="0.25">
      <c r="D410"/>
      <c r="G410" s="19"/>
      <c r="H410"/>
    </row>
    <row r="411" spans="4:8" x14ac:dyDescent="0.25">
      <c r="D411"/>
      <c r="G411" s="19"/>
      <c r="H411"/>
    </row>
    <row r="412" spans="4:8" x14ac:dyDescent="0.25">
      <c r="D412"/>
      <c r="G412" s="19"/>
      <c r="H412"/>
    </row>
    <row r="413" spans="4:8" x14ac:dyDescent="0.25">
      <c r="D413"/>
      <c r="G413" s="19"/>
      <c r="H413"/>
    </row>
    <row r="414" spans="4:8" x14ac:dyDescent="0.25">
      <c r="D414"/>
      <c r="G414" s="19"/>
      <c r="H414"/>
    </row>
    <row r="415" spans="4:8" x14ac:dyDescent="0.25">
      <c r="D415"/>
      <c r="G415" s="19"/>
      <c r="H415"/>
    </row>
    <row r="416" spans="4:8" x14ac:dyDescent="0.25">
      <c r="D416"/>
      <c r="G416" s="19"/>
      <c r="H416"/>
    </row>
    <row r="417" spans="4:8" x14ac:dyDescent="0.25">
      <c r="D417"/>
      <c r="G417" s="19"/>
      <c r="H417"/>
    </row>
    <row r="418" spans="4:8" x14ac:dyDescent="0.25">
      <c r="D418"/>
      <c r="G418" s="19"/>
      <c r="H418"/>
    </row>
    <row r="419" spans="4:8" x14ac:dyDescent="0.25">
      <c r="D419"/>
      <c r="G419" s="19"/>
      <c r="H419"/>
    </row>
    <row r="420" spans="4:8" x14ac:dyDescent="0.25">
      <c r="D420"/>
      <c r="G420" s="19"/>
      <c r="H420"/>
    </row>
    <row r="421" spans="4:8" x14ac:dyDescent="0.25">
      <c r="D421"/>
      <c r="G421" s="19"/>
      <c r="H421"/>
    </row>
    <row r="422" spans="4:8" x14ac:dyDescent="0.25">
      <c r="D422"/>
      <c r="G422" s="19"/>
      <c r="H422"/>
    </row>
    <row r="423" spans="4:8" x14ac:dyDescent="0.25">
      <c r="D423"/>
      <c r="G423" s="19"/>
      <c r="H423"/>
    </row>
    <row r="424" spans="4:8" x14ac:dyDescent="0.25">
      <c r="D424"/>
      <c r="G424" s="19"/>
      <c r="H424"/>
    </row>
    <row r="425" spans="4:8" x14ac:dyDescent="0.25">
      <c r="D425"/>
      <c r="G425" s="19"/>
      <c r="H425"/>
    </row>
    <row r="426" spans="4:8" x14ac:dyDescent="0.25">
      <c r="D426"/>
      <c r="G426" s="19"/>
      <c r="H426"/>
    </row>
    <row r="427" spans="4:8" x14ac:dyDescent="0.25">
      <c r="D427"/>
      <c r="G427" s="19"/>
      <c r="H427"/>
    </row>
    <row r="428" spans="4:8" x14ac:dyDescent="0.25">
      <c r="D428"/>
      <c r="G428" s="19"/>
      <c r="H428"/>
    </row>
    <row r="429" spans="4:8" x14ac:dyDescent="0.25">
      <c r="D429"/>
      <c r="G429" s="19"/>
      <c r="H429"/>
    </row>
    <row r="430" spans="4:8" x14ac:dyDescent="0.25">
      <c r="D430"/>
      <c r="G430" s="19"/>
      <c r="H430"/>
    </row>
    <row r="431" spans="4:8" x14ac:dyDescent="0.25">
      <c r="D431"/>
      <c r="G431" s="19"/>
      <c r="H431"/>
    </row>
    <row r="432" spans="4:8" x14ac:dyDescent="0.25">
      <c r="D432"/>
      <c r="G432" s="19"/>
      <c r="H432"/>
    </row>
    <row r="433" spans="4:8" x14ac:dyDescent="0.25">
      <c r="D433"/>
      <c r="G433" s="19"/>
      <c r="H433"/>
    </row>
    <row r="434" spans="4:8" x14ac:dyDescent="0.25">
      <c r="D434"/>
      <c r="G434" s="19"/>
      <c r="H434"/>
    </row>
    <row r="435" spans="4:8" x14ac:dyDescent="0.25">
      <c r="D435"/>
      <c r="G435" s="19"/>
      <c r="H435"/>
    </row>
    <row r="436" spans="4:8" x14ac:dyDescent="0.25">
      <c r="D436"/>
      <c r="G436" s="19"/>
      <c r="H436"/>
    </row>
    <row r="437" spans="4:8" x14ac:dyDescent="0.25">
      <c r="D437"/>
      <c r="G437" s="19"/>
      <c r="H437"/>
    </row>
    <row r="438" spans="4:8" x14ac:dyDescent="0.25">
      <c r="D438"/>
      <c r="G438" s="19"/>
      <c r="H438"/>
    </row>
    <row r="439" spans="4:8" x14ac:dyDescent="0.25">
      <c r="D439"/>
      <c r="G439" s="19"/>
      <c r="H439"/>
    </row>
    <row r="440" spans="4:8" x14ac:dyDescent="0.25">
      <c r="D440"/>
      <c r="G440" s="19"/>
      <c r="H440"/>
    </row>
    <row r="441" spans="4:8" x14ac:dyDescent="0.25">
      <c r="D441"/>
      <c r="G441" s="19"/>
      <c r="H441"/>
    </row>
    <row r="442" spans="4:8" x14ac:dyDescent="0.25">
      <c r="D442"/>
      <c r="G442" s="19"/>
      <c r="H442"/>
    </row>
    <row r="443" spans="4:8" x14ac:dyDescent="0.25">
      <c r="D443"/>
      <c r="G443" s="19"/>
      <c r="H443"/>
    </row>
    <row r="444" spans="4:8" x14ac:dyDescent="0.25">
      <c r="D444"/>
      <c r="G444" s="19"/>
      <c r="H444"/>
    </row>
    <row r="445" spans="4:8" x14ac:dyDescent="0.25">
      <c r="D445"/>
      <c r="G445" s="19"/>
      <c r="H445"/>
    </row>
    <row r="446" spans="4:8" x14ac:dyDescent="0.25">
      <c r="D446"/>
      <c r="G446" s="19"/>
      <c r="H446"/>
    </row>
    <row r="447" spans="4:8" x14ac:dyDescent="0.25">
      <c r="D447"/>
      <c r="G447" s="19"/>
      <c r="H447"/>
    </row>
    <row r="448" spans="4:8" x14ac:dyDescent="0.25">
      <c r="D448"/>
      <c r="G448" s="19"/>
      <c r="H448"/>
    </row>
    <row r="449" spans="4:8" x14ac:dyDescent="0.25">
      <c r="D449"/>
      <c r="G449" s="19"/>
      <c r="H449"/>
    </row>
    <row r="450" spans="4:8" x14ac:dyDescent="0.25">
      <c r="D450"/>
      <c r="G450" s="19"/>
      <c r="H450"/>
    </row>
    <row r="451" spans="4:8" x14ac:dyDescent="0.25">
      <c r="D451"/>
      <c r="G451" s="19"/>
      <c r="H451"/>
    </row>
    <row r="452" spans="4:8" x14ac:dyDescent="0.25">
      <c r="D452"/>
      <c r="G452" s="19"/>
      <c r="H452"/>
    </row>
    <row r="453" spans="4:8" x14ac:dyDescent="0.25">
      <c r="D453"/>
      <c r="G453" s="19"/>
      <c r="H453"/>
    </row>
    <row r="454" spans="4:8" x14ac:dyDescent="0.25">
      <c r="D454"/>
      <c r="G454" s="19"/>
      <c r="H454"/>
    </row>
    <row r="455" spans="4:8" x14ac:dyDescent="0.25">
      <c r="D455"/>
      <c r="G455" s="19"/>
      <c r="H455"/>
    </row>
    <row r="456" spans="4:8" x14ac:dyDescent="0.25">
      <c r="D456"/>
      <c r="G456" s="19"/>
      <c r="H456"/>
    </row>
    <row r="457" spans="4:8" x14ac:dyDescent="0.25">
      <c r="D457"/>
      <c r="G457" s="19"/>
      <c r="H457"/>
    </row>
    <row r="458" spans="4:8" x14ac:dyDescent="0.25">
      <c r="D458"/>
      <c r="G458" s="19"/>
      <c r="H458"/>
    </row>
    <row r="459" spans="4:8" x14ac:dyDescent="0.25">
      <c r="D459"/>
      <c r="G459" s="19"/>
      <c r="H459"/>
    </row>
    <row r="460" spans="4:8" x14ac:dyDescent="0.25">
      <c r="D460"/>
      <c r="G460" s="19"/>
      <c r="H460"/>
    </row>
    <row r="461" spans="4:8" x14ac:dyDescent="0.25">
      <c r="D461"/>
      <c r="G461" s="19"/>
      <c r="H461"/>
    </row>
    <row r="462" spans="4:8" x14ac:dyDescent="0.25">
      <c r="D462"/>
      <c r="G462" s="19"/>
      <c r="H462"/>
    </row>
    <row r="463" spans="4:8" x14ac:dyDescent="0.25">
      <c r="D463"/>
      <c r="G463" s="19"/>
      <c r="H463"/>
    </row>
    <row r="464" spans="4:8" x14ac:dyDescent="0.25">
      <c r="D464"/>
      <c r="G464" s="19"/>
      <c r="H464"/>
    </row>
    <row r="465" spans="4:8" x14ac:dyDescent="0.25">
      <c r="D465"/>
      <c r="G465" s="19"/>
      <c r="H465"/>
    </row>
    <row r="466" spans="4:8" x14ac:dyDescent="0.25">
      <c r="D466"/>
      <c r="G466" s="19"/>
      <c r="H466"/>
    </row>
    <row r="467" spans="4:8" x14ac:dyDescent="0.25">
      <c r="D467"/>
      <c r="G467" s="19"/>
      <c r="H467"/>
    </row>
    <row r="468" spans="4:8" x14ac:dyDescent="0.25">
      <c r="D468"/>
      <c r="G468" s="19"/>
      <c r="H468"/>
    </row>
    <row r="469" spans="4:8" x14ac:dyDescent="0.25">
      <c r="D469"/>
      <c r="G469" s="19"/>
      <c r="H469"/>
    </row>
    <row r="470" spans="4:8" x14ac:dyDescent="0.25">
      <c r="D470"/>
      <c r="G470" s="19"/>
      <c r="H470"/>
    </row>
    <row r="471" spans="4:8" x14ac:dyDescent="0.25">
      <c r="D471"/>
      <c r="G471" s="19"/>
      <c r="H471"/>
    </row>
    <row r="472" spans="4:8" x14ac:dyDescent="0.25">
      <c r="D472"/>
      <c r="G472" s="19"/>
      <c r="H472"/>
    </row>
    <row r="473" spans="4:8" x14ac:dyDescent="0.25">
      <c r="D473"/>
      <c r="G473" s="19"/>
      <c r="H473"/>
    </row>
    <row r="474" spans="4:8" x14ac:dyDescent="0.25">
      <c r="D474"/>
      <c r="G474" s="19"/>
      <c r="H474"/>
    </row>
    <row r="475" spans="4:8" x14ac:dyDescent="0.25">
      <c r="D475"/>
      <c r="G475" s="19"/>
      <c r="H475"/>
    </row>
    <row r="476" spans="4:8" x14ac:dyDescent="0.25">
      <c r="D476"/>
      <c r="G476" s="19"/>
      <c r="H476"/>
    </row>
    <row r="477" spans="4:8" x14ac:dyDescent="0.25">
      <c r="D477"/>
      <c r="G477" s="19"/>
      <c r="H477"/>
    </row>
    <row r="478" spans="4:8" x14ac:dyDescent="0.25">
      <c r="D478"/>
      <c r="G478" s="19"/>
      <c r="H478"/>
    </row>
    <row r="479" spans="4:8" x14ac:dyDescent="0.25">
      <c r="D479"/>
      <c r="G479" s="19"/>
      <c r="H479"/>
    </row>
    <row r="480" spans="4:8" x14ac:dyDescent="0.25">
      <c r="D480"/>
      <c r="G480" s="19"/>
      <c r="H480"/>
    </row>
    <row r="481" spans="4:8" x14ac:dyDescent="0.25">
      <c r="D481"/>
      <c r="G481" s="19"/>
      <c r="H481"/>
    </row>
    <row r="482" spans="4:8" x14ac:dyDescent="0.25">
      <c r="D482"/>
      <c r="G482" s="19"/>
      <c r="H482"/>
    </row>
    <row r="483" spans="4:8" x14ac:dyDescent="0.25">
      <c r="D483"/>
      <c r="G483" s="19"/>
      <c r="H483"/>
    </row>
    <row r="484" spans="4:8" x14ac:dyDescent="0.25">
      <c r="D484"/>
      <c r="G484" s="19"/>
      <c r="H484"/>
    </row>
    <row r="485" spans="4:8" x14ac:dyDescent="0.25">
      <c r="D485"/>
      <c r="G485" s="19"/>
      <c r="H485"/>
    </row>
    <row r="486" spans="4:8" x14ac:dyDescent="0.25">
      <c r="D486"/>
      <c r="G486" s="19"/>
      <c r="H486"/>
    </row>
    <row r="487" spans="4:8" x14ac:dyDescent="0.25">
      <c r="D487"/>
      <c r="G487" s="19"/>
      <c r="H487"/>
    </row>
    <row r="488" spans="4:8" x14ac:dyDescent="0.25">
      <c r="D488"/>
      <c r="G488" s="19"/>
      <c r="H488"/>
    </row>
    <row r="489" spans="4:8" x14ac:dyDescent="0.25">
      <c r="D489"/>
      <c r="G489" s="19"/>
      <c r="H489"/>
    </row>
    <row r="490" spans="4:8" x14ac:dyDescent="0.25">
      <c r="D490"/>
      <c r="G490" s="19"/>
      <c r="H490"/>
    </row>
    <row r="491" spans="4:8" x14ac:dyDescent="0.25">
      <c r="D491"/>
      <c r="G491" s="19"/>
      <c r="H491"/>
    </row>
    <row r="492" spans="4:8" x14ac:dyDescent="0.25">
      <c r="D492"/>
      <c r="G492" s="19"/>
      <c r="H492"/>
    </row>
    <row r="493" spans="4:8" x14ac:dyDescent="0.25">
      <c r="D493"/>
      <c r="G493" s="19"/>
      <c r="H493"/>
    </row>
    <row r="494" spans="4:8" x14ac:dyDescent="0.25">
      <c r="D494"/>
      <c r="G494" s="19"/>
      <c r="H494"/>
    </row>
    <row r="495" spans="4:8" x14ac:dyDescent="0.25">
      <c r="D495"/>
      <c r="G495" s="19"/>
      <c r="H495"/>
    </row>
    <row r="496" spans="4:8" x14ac:dyDescent="0.25">
      <c r="D496"/>
      <c r="G496" s="19"/>
      <c r="H496"/>
    </row>
    <row r="497" spans="4:8" x14ac:dyDescent="0.25">
      <c r="D497"/>
      <c r="G497" s="19"/>
      <c r="H497"/>
    </row>
    <row r="498" spans="4:8" x14ac:dyDescent="0.25">
      <c r="D498"/>
      <c r="G498" s="19"/>
      <c r="H498"/>
    </row>
    <row r="499" spans="4:8" x14ac:dyDescent="0.25">
      <c r="D499"/>
      <c r="G499" s="19"/>
      <c r="H499"/>
    </row>
    <row r="500" spans="4:8" x14ac:dyDescent="0.25">
      <c r="D500"/>
      <c r="G500" s="19"/>
      <c r="H500"/>
    </row>
    <row r="501" spans="4:8" x14ac:dyDescent="0.25">
      <c r="D501"/>
      <c r="G501" s="19"/>
      <c r="H501"/>
    </row>
    <row r="502" spans="4:8" x14ac:dyDescent="0.25">
      <c r="D502"/>
      <c r="G502" s="19"/>
      <c r="H502"/>
    </row>
    <row r="503" spans="4:8" x14ac:dyDescent="0.25">
      <c r="D503"/>
      <c r="G503" s="19"/>
      <c r="H503"/>
    </row>
    <row r="504" spans="4:8" x14ac:dyDescent="0.25">
      <c r="D504"/>
      <c r="G504" s="19"/>
      <c r="H504"/>
    </row>
    <row r="505" spans="4:8" x14ac:dyDescent="0.25">
      <c r="D505"/>
      <c r="G505" s="19"/>
      <c r="H505"/>
    </row>
    <row r="506" spans="4:8" x14ac:dyDescent="0.25">
      <c r="D506"/>
      <c r="G506" s="19"/>
      <c r="H506"/>
    </row>
    <row r="507" spans="4:8" x14ac:dyDescent="0.25">
      <c r="D507"/>
      <c r="G507" s="19"/>
      <c r="H507"/>
    </row>
    <row r="508" spans="4:8" x14ac:dyDescent="0.25">
      <c r="D508"/>
      <c r="G508" s="19"/>
      <c r="H508"/>
    </row>
    <row r="509" spans="4:8" x14ac:dyDescent="0.25">
      <c r="D509"/>
      <c r="G509" s="19"/>
      <c r="H509"/>
    </row>
    <row r="510" spans="4:8" x14ac:dyDescent="0.25">
      <c r="D510"/>
      <c r="G510" s="19"/>
      <c r="H510"/>
    </row>
    <row r="511" spans="4:8" x14ac:dyDescent="0.25">
      <c r="D511"/>
      <c r="G511" s="19"/>
      <c r="H511"/>
    </row>
    <row r="512" spans="4:8" x14ac:dyDescent="0.25">
      <c r="D512"/>
      <c r="G512" s="19"/>
      <c r="H512"/>
    </row>
    <row r="513" spans="4:8" x14ac:dyDescent="0.25">
      <c r="D513"/>
      <c r="G513" s="19"/>
      <c r="H513"/>
    </row>
    <row r="514" spans="4:8" x14ac:dyDescent="0.25">
      <c r="D514"/>
      <c r="G514" s="19"/>
      <c r="H514"/>
    </row>
    <row r="515" spans="4:8" x14ac:dyDescent="0.25">
      <c r="D515"/>
      <c r="G515" s="19"/>
      <c r="H515"/>
    </row>
    <row r="516" spans="4:8" x14ac:dyDescent="0.25">
      <c r="D516"/>
      <c r="G516" s="19"/>
      <c r="H516"/>
    </row>
    <row r="517" spans="4:8" x14ac:dyDescent="0.25">
      <c r="D517"/>
      <c r="G517" s="19"/>
      <c r="H517"/>
    </row>
    <row r="518" spans="4:8" x14ac:dyDescent="0.25">
      <c r="D518"/>
      <c r="G518" s="19"/>
      <c r="H518"/>
    </row>
    <row r="519" spans="4:8" x14ac:dyDescent="0.25">
      <c r="D519"/>
      <c r="G519" s="19"/>
      <c r="H519"/>
    </row>
    <row r="520" spans="4:8" x14ac:dyDescent="0.25">
      <c r="D520"/>
      <c r="G520" s="19"/>
      <c r="H520"/>
    </row>
    <row r="521" spans="4:8" x14ac:dyDescent="0.25">
      <c r="D521"/>
      <c r="G521" s="19"/>
      <c r="H521"/>
    </row>
    <row r="522" spans="4:8" x14ac:dyDescent="0.25">
      <c r="D522"/>
      <c r="G522" s="19"/>
      <c r="H522"/>
    </row>
    <row r="523" spans="4:8" x14ac:dyDescent="0.25">
      <c r="D523"/>
      <c r="G523" s="19"/>
      <c r="H523"/>
    </row>
    <row r="524" spans="4:8" x14ac:dyDescent="0.25">
      <c r="D524"/>
      <c r="G524" s="19"/>
      <c r="H524"/>
    </row>
    <row r="525" spans="4:8" x14ac:dyDescent="0.25">
      <c r="D525"/>
      <c r="G525" s="19"/>
      <c r="H525"/>
    </row>
    <row r="526" spans="4:8" x14ac:dyDescent="0.25">
      <c r="D526"/>
      <c r="G526" s="19"/>
      <c r="H526"/>
    </row>
    <row r="527" spans="4:8" x14ac:dyDescent="0.25">
      <c r="D527"/>
      <c r="G527" s="19"/>
      <c r="H527"/>
    </row>
    <row r="528" spans="4:8" x14ac:dyDescent="0.25">
      <c r="D528"/>
      <c r="G528" s="19"/>
      <c r="H528"/>
    </row>
    <row r="529" spans="4:8" x14ac:dyDescent="0.25">
      <c r="D529"/>
      <c r="G529" s="19"/>
      <c r="H529"/>
    </row>
    <row r="530" spans="4:8" x14ac:dyDescent="0.25">
      <c r="D530"/>
      <c r="G530" s="19"/>
      <c r="H530"/>
    </row>
    <row r="531" spans="4:8" x14ac:dyDescent="0.25">
      <c r="D531"/>
      <c r="G531" s="19"/>
      <c r="H531"/>
    </row>
    <row r="532" spans="4:8" x14ac:dyDescent="0.25">
      <c r="D532"/>
      <c r="G532" s="19"/>
      <c r="H532"/>
    </row>
    <row r="533" spans="4:8" x14ac:dyDescent="0.25">
      <c r="D533"/>
      <c r="G533" s="19"/>
      <c r="H533"/>
    </row>
    <row r="534" spans="4:8" x14ac:dyDescent="0.25">
      <c r="D534"/>
      <c r="G534" s="19"/>
      <c r="H534"/>
    </row>
    <row r="535" spans="4:8" x14ac:dyDescent="0.25">
      <c r="D535"/>
      <c r="G535" s="19"/>
      <c r="H535"/>
    </row>
    <row r="536" spans="4:8" x14ac:dyDescent="0.25">
      <c r="D536"/>
      <c r="G536" s="19"/>
      <c r="H536"/>
    </row>
    <row r="537" spans="4:8" x14ac:dyDescent="0.25">
      <c r="D537"/>
      <c r="G537" s="19"/>
      <c r="H537"/>
    </row>
    <row r="538" spans="4:8" x14ac:dyDescent="0.25">
      <c r="D538"/>
      <c r="G538" s="19"/>
      <c r="H538"/>
    </row>
    <row r="539" spans="4:8" x14ac:dyDescent="0.25">
      <c r="D539"/>
      <c r="G539" s="19"/>
      <c r="H539"/>
    </row>
    <row r="540" spans="4:8" x14ac:dyDescent="0.25">
      <c r="D540"/>
      <c r="G540" s="19"/>
      <c r="H540"/>
    </row>
    <row r="541" spans="4:8" x14ac:dyDescent="0.25">
      <c r="D541"/>
      <c r="G541" s="19"/>
      <c r="H541"/>
    </row>
    <row r="542" spans="4:8" x14ac:dyDescent="0.25">
      <c r="D542"/>
      <c r="G542" s="19"/>
      <c r="H542"/>
    </row>
    <row r="543" spans="4:8" x14ac:dyDescent="0.25">
      <c r="D543"/>
      <c r="G543" s="19"/>
      <c r="H543"/>
    </row>
    <row r="544" spans="4:8" x14ac:dyDescent="0.25">
      <c r="D544"/>
      <c r="G544" s="19"/>
      <c r="H544"/>
    </row>
    <row r="545" spans="4:8" x14ac:dyDescent="0.25">
      <c r="D545"/>
      <c r="G545" s="19"/>
      <c r="H545"/>
    </row>
    <row r="546" spans="4:8" x14ac:dyDescent="0.25">
      <c r="D546"/>
      <c r="G546" s="19"/>
      <c r="H546"/>
    </row>
    <row r="547" spans="4:8" x14ac:dyDescent="0.25">
      <c r="D547"/>
      <c r="G547" s="19"/>
      <c r="H547"/>
    </row>
    <row r="548" spans="4:8" x14ac:dyDescent="0.25">
      <c r="D548"/>
      <c r="G548" s="19"/>
      <c r="H548"/>
    </row>
    <row r="549" spans="4:8" x14ac:dyDescent="0.25">
      <c r="D549"/>
      <c r="G549" s="19"/>
      <c r="H549"/>
    </row>
    <row r="550" spans="4:8" x14ac:dyDescent="0.25">
      <c r="D550"/>
      <c r="G550" s="19"/>
      <c r="H550"/>
    </row>
    <row r="551" spans="4:8" x14ac:dyDescent="0.25">
      <c r="D551"/>
      <c r="G551" s="19"/>
      <c r="H551"/>
    </row>
    <row r="552" spans="4:8" x14ac:dyDescent="0.25">
      <c r="D552"/>
      <c r="G552" s="19"/>
      <c r="H552"/>
    </row>
    <row r="553" spans="4:8" x14ac:dyDescent="0.25">
      <c r="D553"/>
      <c r="G553" s="19"/>
      <c r="H553"/>
    </row>
    <row r="554" spans="4:8" x14ac:dyDescent="0.25">
      <c r="D554"/>
      <c r="G554" s="19"/>
      <c r="H554"/>
    </row>
    <row r="555" spans="4:8" x14ac:dyDescent="0.25">
      <c r="D555"/>
      <c r="G555" s="19"/>
      <c r="H555"/>
    </row>
    <row r="556" spans="4:8" x14ac:dyDescent="0.25">
      <c r="D556"/>
      <c r="G556" s="19"/>
      <c r="H556"/>
    </row>
    <row r="557" spans="4:8" x14ac:dyDescent="0.25">
      <c r="D557"/>
      <c r="G557" s="19"/>
      <c r="H557"/>
    </row>
    <row r="558" spans="4:8" x14ac:dyDescent="0.25">
      <c r="D558"/>
      <c r="G558" s="19"/>
      <c r="H558"/>
    </row>
    <row r="559" spans="4:8" x14ac:dyDescent="0.25">
      <c r="D559"/>
      <c r="G559" s="19"/>
      <c r="H559"/>
    </row>
    <row r="560" spans="4:8" x14ac:dyDescent="0.25">
      <c r="D560"/>
      <c r="G560" s="19"/>
      <c r="H560"/>
    </row>
    <row r="561" spans="4:8" x14ac:dyDescent="0.25">
      <c r="D561"/>
      <c r="G561" s="19"/>
      <c r="H561"/>
    </row>
    <row r="562" spans="4:8" x14ac:dyDescent="0.25">
      <c r="D562"/>
      <c r="G562" s="19"/>
      <c r="H562"/>
    </row>
    <row r="563" spans="4:8" x14ac:dyDescent="0.25">
      <c r="D563"/>
      <c r="G563" s="19"/>
      <c r="H563"/>
    </row>
    <row r="564" spans="4:8" x14ac:dyDescent="0.25">
      <c r="D564"/>
      <c r="G564" s="19"/>
      <c r="H564"/>
    </row>
    <row r="565" spans="4:8" x14ac:dyDescent="0.25">
      <c r="D565"/>
      <c r="G565" s="19"/>
      <c r="H565"/>
    </row>
    <row r="566" spans="4:8" x14ac:dyDescent="0.25">
      <c r="D566"/>
      <c r="G566" s="19"/>
      <c r="H566"/>
    </row>
    <row r="567" spans="4:8" x14ac:dyDescent="0.25">
      <c r="D567"/>
      <c r="G567" s="19"/>
      <c r="H567"/>
    </row>
    <row r="568" spans="4:8" x14ac:dyDescent="0.25">
      <c r="D568"/>
      <c r="G568" s="19"/>
      <c r="H568"/>
    </row>
    <row r="569" spans="4:8" x14ac:dyDescent="0.25">
      <c r="D569"/>
      <c r="G569" s="19"/>
      <c r="H569"/>
    </row>
    <row r="570" spans="4:8" x14ac:dyDescent="0.25">
      <c r="D570"/>
      <c r="G570" s="19"/>
      <c r="H570"/>
    </row>
    <row r="571" spans="4:8" x14ac:dyDescent="0.25">
      <c r="D571"/>
      <c r="G571" s="19"/>
      <c r="H571"/>
    </row>
    <row r="572" spans="4:8" x14ac:dyDescent="0.25">
      <c r="D572"/>
      <c r="G572" s="19"/>
      <c r="H572"/>
    </row>
    <row r="573" spans="4:8" x14ac:dyDescent="0.25">
      <c r="D573"/>
      <c r="G573" s="19"/>
      <c r="H573"/>
    </row>
    <row r="574" spans="4:8" x14ac:dyDescent="0.25">
      <c r="D574"/>
      <c r="G574" s="19"/>
      <c r="H574"/>
    </row>
    <row r="575" spans="4:8" x14ac:dyDescent="0.25">
      <c r="D575"/>
      <c r="G575" s="19"/>
      <c r="H575"/>
    </row>
    <row r="576" spans="4:8" x14ac:dyDescent="0.25">
      <c r="D576"/>
      <c r="G576" s="19"/>
      <c r="H576"/>
    </row>
    <row r="577" spans="4:8" x14ac:dyDescent="0.25">
      <c r="D577"/>
      <c r="G577" s="19"/>
      <c r="H577"/>
    </row>
    <row r="578" spans="4:8" x14ac:dyDescent="0.25">
      <c r="D578"/>
      <c r="G578" s="19"/>
      <c r="H578"/>
    </row>
    <row r="579" spans="4:8" x14ac:dyDescent="0.25">
      <c r="D579"/>
      <c r="G579" s="19"/>
      <c r="H579"/>
    </row>
    <row r="580" spans="4:8" x14ac:dyDescent="0.25">
      <c r="D580"/>
      <c r="G580" s="19"/>
      <c r="H580"/>
    </row>
    <row r="581" spans="4:8" x14ac:dyDescent="0.25">
      <c r="D581"/>
      <c r="G581" s="19"/>
      <c r="H581"/>
    </row>
    <row r="582" spans="4:8" x14ac:dyDescent="0.25">
      <c r="D582"/>
      <c r="G582" s="19"/>
      <c r="H582"/>
    </row>
    <row r="583" spans="4:8" x14ac:dyDescent="0.25">
      <c r="D583"/>
      <c r="G583" s="19"/>
      <c r="H583"/>
    </row>
    <row r="584" spans="4:8" x14ac:dyDescent="0.25">
      <c r="D584"/>
      <c r="G584" s="19"/>
      <c r="H584"/>
    </row>
    <row r="585" spans="4:8" x14ac:dyDescent="0.25">
      <c r="D585"/>
      <c r="G585" s="19"/>
      <c r="H585"/>
    </row>
    <row r="586" spans="4:8" x14ac:dyDescent="0.25">
      <c r="D586"/>
      <c r="G586" s="19"/>
      <c r="H586"/>
    </row>
    <row r="587" spans="4:8" x14ac:dyDescent="0.25">
      <c r="D587"/>
      <c r="G587" s="19"/>
      <c r="H587"/>
    </row>
    <row r="588" spans="4:8" x14ac:dyDescent="0.25">
      <c r="D588"/>
      <c r="G588" s="19"/>
      <c r="H588"/>
    </row>
    <row r="589" spans="4:8" x14ac:dyDescent="0.25">
      <c r="D589"/>
      <c r="G589" s="19"/>
      <c r="H589"/>
    </row>
    <row r="590" spans="4:8" x14ac:dyDescent="0.25">
      <c r="D590"/>
      <c r="G590" s="19"/>
      <c r="H590"/>
    </row>
    <row r="591" spans="4:8" x14ac:dyDescent="0.25">
      <c r="D591"/>
      <c r="G591" s="19"/>
      <c r="H591"/>
    </row>
    <row r="592" spans="4:8" x14ac:dyDescent="0.25">
      <c r="D592"/>
      <c r="G592" s="19"/>
      <c r="H592"/>
    </row>
    <row r="593" spans="4:8" x14ac:dyDescent="0.25">
      <c r="D593"/>
      <c r="G593" s="19"/>
      <c r="H593"/>
    </row>
    <row r="594" spans="4:8" x14ac:dyDescent="0.25">
      <c r="D594"/>
      <c r="G594" s="19"/>
      <c r="H594"/>
    </row>
    <row r="595" spans="4:8" x14ac:dyDescent="0.25">
      <c r="D595"/>
      <c r="G595" s="19"/>
      <c r="H595"/>
    </row>
    <row r="596" spans="4:8" x14ac:dyDescent="0.25">
      <c r="D596"/>
      <c r="G596" s="19"/>
      <c r="H596"/>
    </row>
    <row r="597" spans="4:8" x14ac:dyDescent="0.25">
      <c r="D597"/>
      <c r="G597" s="19"/>
      <c r="H597"/>
    </row>
    <row r="598" spans="4:8" x14ac:dyDescent="0.25">
      <c r="D598"/>
      <c r="G598" s="19"/>
      <c r="H598"/>
    </row>
    <row r="599" spans="4:8" x14ac:dyDescent="0.25">
      <c r="D599"/>
      <c r="G599" s="19"/>
      <c r="H599"/>
    </row>
    <row r="600" spans="4:8" x14ac:dyDescent="0.25">
      <c r="D600"/>
      <c r="G600" s="19"/>
      <c r="H600"/>
    </row>
    <row r="601" spans="4:8" x14ac:dyDescent="0.25">
      <c r="D601"/>
      <c r="G601" s="19"/>
      <c r="H601"/>
    </row>
    <row r="602" spans="4:8" x14ac:dyDescent="0.25">
      <c r="D602"/>
      <c r="G602" s="19"/>
      <c r="H602"/>
    </row>
    <row r="603" spans="4:8" x14ac:dyDescent="0.25">
      <c r="D603"/>
      <c r="G603" s="19"/>
      <c r="H603"/>
    </row>
    <row r="604" spans="4:8" x14ac:dyDescent="0.25">
      <c r="D604"/>
      <c r="G604" s="19"/>
      <c r="H604"/>
    </row>
    <row r="605" spans="4:8" x14ac:dyDescent="0.25">
      <c r="D605"/>
      <c r="G605" s="19"/>
      <c r="H605"/>
    </row>
    <row r="606" spans="4:8" x14ac:dyDescent="0.25">
      <c r="D606"/>
      <c r="G606" s="19"/>
      <c r="H606"/>
    </row>
    <row r="607" spans="4:8" x14ac:dyDescent="0.25">
      <c r="D607"/>
      <c r="G607" s="19"/>
      <c r="H607"/>
    </row>
    <row r="608" spans="4:8" x14ac:dyDescent="0.25">
      <c r="D608"/>
      <c r="G608" s="19"/>
      <c r="H608"/>
    </row>
    <row r="609" spans="4:8" x14ac:dyDescent="0.25">
      <c r="D609"/>
      <c r="G609" s="19"/>
      <c r="H609"/>
    </row>
    <row r="610" spans="4:8" x14ac:dyDescent="0.25">
      <c r="D610"/>
      <c r="G610" s="19"/>
      <c r="H610"/>
    </row>
    <row r="611" spans="4:8" x14ac:dyDescent="0.25">
      <c r="D611"/>
      <c r="G611" s="19"/>
      <c r="H611"/>
    </row>
    <row r="612" spans="4:8" x14ac:dyDescent="0.25">
      <c r="D612"/>
      <c r="G612" s="19"/>
      <c r="H612"/>
    </row>
    <row r="613" spans="4:8" x14ac:dyDescent="0.25">
      <c r="D613"/>
      <c r="G613" s="19"/>
      <c r="H613"/>
    </row>
    <row r="614" spans="4:8" x14ac:dyDescent="0.25">
      <c r="D614"/>
      <c r="G614" s="19"/>
      <c r="H614"/>
    </row>
    <row r="615" spans="4:8" x14ac:dyDescent="0.25">
      <c r="D615"/>
      <c r="G615" s="19"/>
      <c r="H615"/>
    </row>
    <row r="616" spans="4:8" x14ac:dyDescent="0.25">
      <c r="D616"/>
      <c r="G616" s="19"/>
      <c r="H616"/>
    </row>
    <row r="617" spans="4:8" x14ac:dyDescent="0.25">
      <c r="D617"/>
      <c r="G617" s="19"/>
      <c r="H617"/>
    </row>
    <row r="618" spans="4:8" x14ac:dyDescent="0.25">
      <c r="D618"/>
      <c r="G618" s="19"/>
      <c r="H618"/>
    </row>
    <row r="619" spans="4:8" x14ac:dyDescent="0.25">
      <c r="D619"/>
      <c r="G619" s="19"/>
      <c r="H619"/>
    </row>
    <row r="620" spans="4:8" x14ac:dyDescent="0.25">
      <c r="D620"/>
      <c r="G620" s="19"/>
      <c r="H620"/>
    </row>
    <row r="621" spans="4:8" x14ac:dyDescent="0.25">
      <c r="D621"/>
      <c r="G621" s="19"/>
      <c r="H621"/>
    </row>
    <row r="622" spans="4:8" x14ac:dyDescent="0.25">
      <c r="D622"/>
      <c r="G622" s="19"/>
      <c r="H622"/>
    </row>
    <row r="623" spans="4:8" x14ac:dyDescent="0.25">
      <c r="D623"/>
      <c r="G623" s="19"/>
      <c r="H623"/>
    </row>
    <row r="624" spans="4:8" x14ac:dyDescent="0.25">
      <c r="D624"/>
      <c r="G624" s="19"/>
      <c r="H624"/>
    </row>
    <row r="625" spans="4:8" x14ac:dyDescent="0.25">
      <c r="D625"/>
      <c r="G625" s="19"/>
      <c r="H625"/>
    </row>
    <row r="626" spans="4:8" x14ac:dyDescent="0.25">
      <c r="D626"/>
      <c r="G626" s="19"/>
      <c r="H626"/>
    </row>
    <row r="627" spans="4:8" x14ac:dyDescent="0.25">
      <c r="D627"/>
      <c r="G627" s="19"/>
      <c r="H627"/>
    </row>
    <row r="628" spans="4:8" x14ac:dyDescent="0.25">
      <c r="D628"/>
      <c r="G628" s="19"/>
      <c r="H628"/>
    </row>
    <row r="629" spans="4:8" x14ac:dyDescent="0.25">
      <c r="D629"/>
      <c r="G629" s="19"/>
      <c r="H629"/>
    </row>
    <row r="630" spans="4:8" x14ac:dyDescent="0.25">
      <c r="D630"/>
      <c r="G630" s="19"/>
      <c r="H630"/>
    </row>
    <row r="631" spans="4:8" x14ac:dyDescent="0.25">
      <c r="D631"/>
      <c r="G631" s="19"/>
      <c r="H631"/>
    </row>
    <row r="632" spans="4:8" x14ac:dyDescent="0.25">
      <c r="D632"/>
      <c r="G632" s="19"/>
      <c r="H632"/>
    </row>
    <row r="633" spans="4:8" x14ac:dyDescent="0.25">
      <c r="D633"/>
      <c r="G633" s="19"/>
      <c r="H633"/>
    </row>
    <row r="634" spans="4:8" x14ac:dyDescent="0.25">
      <c r="D634"/>
      <c r="G634" s="19"/>
      <c r="H634"/>
    </row>
    <row r="635" spans="4:8" x14ac:dyDescent="0.25">
      <c r="D635"/>
      <c r="G635" s="19"/>
      <c r="H635"/>
    </row>
    <row r="636" spans="4:8" x14ac:dyDescent="0.25">
      <c r="D636"/>
      <c r="G636" s="19"/>
      <c r="H636"/>
    </row>
    <row r="637" spans="4:8" x14ac:dyDescent="0.25">
      <c r="D637"/>
      <c r="G637" s="19"/>
      <c r="H637"/>
    </row>
    <row r="638" spans="4:8" x14ac:dyDescent="0.25">
      <c r="D638"/>
      <c r="G638" s="19"/>
      <c r="H638"/>
    </row>
    <row r="639" spans="4:8" x14ac:dyDescent="0.25">
      <c r="D639"/>
      <c r="G639" s="19"/>
      <c r="H639"/>
    </row>
    <row r="640" spans="4:8" x14ac:dyDescent="0.25">
      <c r="D640"/>
      <c r="G640" s="19"/>
      <c r="H640"/>
    </row>
    <row r="641" spans="4:8" x14ac:dyDescent="0.25">
      <c r="D641"/>
      <c r="G641" s="19"/>
      <c r="H641"/>
    </row>
    <row r="642" spans="4:8" x14ac:dyDescent="0.25">
      <c r="D642"/>
      <c r="G642" s="19"/>
      <c r="H642"/>
    </row>
    <row r="643" spans="4:8" x14ac:dyDescent="0.25">
      <c r="D643"/>
      <c r="G643" s="19"/>
      <c r="H643"/>
    </row>
    <row r="644" spans="4:8" x14ac:dyDescent="0.25">
      <c r="D644"/>
      <c r="G644" s="19"/>
      <c r="H644"/>
    </row>
    <row r="645" spans="4:8" x14ac:dyDescent="0.25">
      <c r="D645"/>
      <c r="G645" s="19"/>
      <c r="H645"/>
    </row>
    <row r="646" spans="4:8" x14ac:dyDescent="0.25">
      <c r="D646"/>
      <c r="G646" s="19"/>
      <c r="H646"/>
    </row>
    <row r="647" spans="4:8" x14ac:dyDescent="0.25">
      <c r="D647"/>
      <c r="G647" s="19"/>
      <c r="H647"/>
    </row>
    <row r="648" spans="4:8" x14ac:dyDescent="0.25">
      <c r="D648"/>
      <c r="G648" s="19"/>
      <c r="H648"/>
    </row>
    <row r="649" spans="4:8" x14ac:dyDescent="0.25">
      <c r="D649"/>
      <c r="G649" s="19"/>
      <c r="H649"/>
    </row>
    <row r="650" spans="4:8" x14ac:dyDescent="0.25">
      <c r="D650"/>
      <c r="G650" s="19"/>
      <c r="H650"/>
    </row>
    <row r="651" spans="4:8" x14ac:dyDescent="0.25">
      <c r="D651"/>
      <c r="G651" s="19"/>
      <c r="H651"/>
    </row>
    <row r="652" spans="4:8" x14ac:dyDescent="0.25">
      <c r="D652"/>
      <c r="G652" s="19"/>
      <c r="H652"/>
    </row>
    <row r="653" spans="4:8" x14ac:dyDescent="0.25">
      <c r="D653"/>
      <c r="G653" s="19"/>
      <c r="H653"/>
    </row>
    <row r="654" spans="4:8" x14ac:dyDescent="0.25">
      <c r="D654"/>
      <c r="G654" s="19"/>
      <c r="H654"/>
    </row>
    <row r="655" spans="4:8" x14ac:dyDescent="0.25">
      <c r="D655"/>
      <c r="G655" s="19"/>
      <c r="H655"/>
    </row>
    <row r="656" spans="4:8" x14ac:dyDescent="0.25">
      <c r="D656"/>
      <c r="G656" s="19"/>
      <c r="H656"/>
    </row>
    <row r="657" spans="4:8" x14ac:dyDescent="0.25">
      <c r="D657"/>
      <c r="G657" s="19"/>
      <c r="H657"/>
    </row>
    <row r="658" spans="4:8" x14ac:dyDescent="0.25">
      <c r="D658"/>
      <c r="G658" s="19"/>
      <c r="H658"/>
    </row>
    <row r="659" spans="4:8" x14ac:dyDescent="0.25">
      <c r="D659"/>
      <c r="G659" s="19"/>
      <c r="H659"/>
    </row>
    <row r="660" spans="4:8" x14ac:dyDescent="0.25">
      <c r="D660"/>
      <c r="G660" s="19"/>
      <c r="H660"/>
    </row>
    <row r="661" spans="4:8" x14ac:dyDescent="0.25">
      <c r="D661"/>
      <c r="G661" s="19"/>
      <c r="H661"/>
    </row>
    <row r="662" spans="4:8" x14ac:dyDescent="0.25">
      <c r="D662"/>
      <c r="G662" s="19"/>
      <c r="H662"/>
    </row>
    <row r="663" spans="4:8" x14ac:dyDescent="0.25">
      <c r="D663"/>
      <c r="G663" s="19"/>
      <c r="H663"/>
    </row>
    <row r="664" spans="4:8" x14ac:dyDescent="0.25">
      <c r="D664"/>
      <c r="G664" s="19"/>
      <c r="H664"/>
    </row>
    <row r="665" spans="4:8" x14ac:dyDescent="0.25">
      <c r="D665"/>
      <c r="G665" s="19"/>
      <c r="H665"/>
    </row>
    <row r="666" spans="4:8" x14ac:dyDescent="0.25">
      <c r="D666"/>
      <c r="G666" s="19"/>
      <c r="H666"/>
    </row>
    <row r="667" spans="4:8" x14ac:dyDescent="0.25">
      <c r="D667"/>
      <c r="G667" s="19"/>
      <c r="H667"/>
    </row>
    <row r="668" spans="4:8" x14ac:dyDescent="0.25">
      <c r="D668"/>
      <c r="G668" s="19"/>
      <c r="H668"/>
    </row>
    <row r="669" spans="4:8" x14ac:dyDescent="0.25">
      <c r="D669"/>
      <c r="G669" s="19"/>
      <c r="H669"/>
    </row>
    <row r="670" spans="4:8" x14ac:dyDescent="0.25">
      <c r="D670"/>
      <c r="G670" s="19"/>
      <c r="H670"/>
    </row>
    <row r="671" spans="4:8" x14ac:dyDescent="0.25">
      <c r="D671"/>
      <c r="G671" s="19"/>
      <c r="H671"/>
    </row>
    <row r="672" spans="4:8" x14ac:dyDescent="0.25">
      <c r="D672"/>
      <c r="G672" s="19"/>
      <c r="H672"/>
    </row>
    <row r="673" spans="4:8" x14ac:dyDescent="0.25">
      <c r="D673"/>
      <c r="G673" s="19"/>
      <c r="H673"/>
    </row>
    <row r="674" spans="4:8" x14ac:dyDescent="0.25">
      <c r="D674"/>
      <c r="G674" s="19"/>
      <c r="H674"/>
    </row>
    <row r="675" spans="4:8" x14ac:dyDescent="0.25">
      <c r="D675"/>
      <c r="G675" s="19"/>
      <c r="H675"/>
    </row>
    <row r="676" spans="4:8" x14ac:dyDescent="0.25">
      <c r="D676"/>
      <c r="G676" s="19"/>
      <c r="H676"/>
    </row>
    <row r="677" spans="4:8" x14ac:dyDescent="0.25">
      <c r="D677"/>
      <c r="G677" s="19"/>
      <c r="H677"/>
    </row>
    <row r="678" spans="4:8" x14ac:dyDescent="0.25">
      <c r="D678"/>
      <c r="G678" s="19"/>
      <c r="H678"/>
    </row>
    <row r="679" spans="4:8" x14ac:dyDescent="0.25">
      <c r="D679"/>
      <c r="G679" s="19"/>
      <c r="H679"/>
    </row>
    <row r="680" spans="4:8" x14ac:dyDescent="0.25">
      <c r="D680"/>
      <c r="G680" s="19"/>
      <c r="H680"/>
    </row>
    <row r="681" spans="4:8" x14ac:dyDescent="0.25">
      <c r="D681"/>
      <c r="G681" s="19"/>
      <c r="H681"/>
    </row>
    <row r="682" spans="4:8" x14ac:dyDescent="0.25">
      <c r="D682"/>
      <c r="G682" s="19"/>
      <c r="H682"/>
    </row>
    <row r="683" spans="4:8" x14ac:dyDescent="0.25">
      <c r="D683"/>
      <c r="G683" s="19"/>
      <c r="H683"/>
    </row>
    <row r="684" spans="4:8" x14ac:dyDescent="0.25">
      <c r="D684"/>
      <c r="G684" s="19"/>
      <c r="H684"/>
    </row>
    <row r="685" spans="4:8" x14ac:dyDescent="0.25">
      <c r="D685"/>
      <c r="G685" s="19"/>
      <c r="H685"/>
    </row>
    <row r="686" spans="4:8" x14ac:dyDescent="0.25">
      <c r="D686"/>
      <c r="G686" s="19"/>
      <c r="H686"/>
    </row>
    <row r="687" spans="4:8" x14ac:dyDescent="0.25">
      <c r="D687"/>
      <c r="G687" s="19"/>
      <c r="H687"/>
    </row>
    <row r="688" spans="4:8" x14ac:dyDescent="0.25">
      <c r="D688"/>
      <c r="G688" s="19"/>
      <c r="H688"/>
    </row>
    <row r="689" spans="4:8" x14ac:dyDescent="0.25">
      <c r="D689"/>
      <c r="G689" s="19"/>
      <c r="H689"/>
    </row>
    <row r="690" spans="4:8" x14ac:dyDescent="0.25">
      <c r="D690"/>
      <c r="G690" s="19"/>
      <c r="H690"/>
    </row>
    <row r="691" spans="4:8" x14ac:dyDescent="0.25">
      <c r="D691"/>
      <c r="G691" s="19"/>
      <c r="H691"/>
    </row>
    <row r="692" spans="4:8" x14ac:dyDescent="0.25">
      <c r="D692"/>
      <c r="G692" s="19"/>
      <c r="H692"/>
    </row>
    <row r="693" spans="4:8" x14ac:dyDescent="0.25">
      <c r="D693"/>
      <c r="G693" s="19"/>
      <c r="H693"/>
    </row>
    <row r="694" spans="4:8" x14ac:dyDescent="0.25">
      <c r="D694"/>
      <c r="G694" s="19"/>
      <c r="H694"/>
    </row>
    <row r="695" spans="4:8" x14ac:dyDescent="0.25">
      <c r="D695"/>
      <c r="G695" s="19"/>
      <c r="H695"/>
    </row>
    <row r="696" spans="4:8" x14ac:dyDescent="0.25">
      <c r="D696"/>
      <c r="G696" s="19"/>
      <c r="H696"/>
    </row>
    <row r="697" spans="4:8" x14ac:dyDescent="0.25">
      <c r="D697"/>
      <c r="G697" s="19"/>
      <c r="H697"/>
    </row>
    <row r="698" spans="4:8" x14ac:dyDescent="0.25">
      <c r="D698"/>
      <c r="G698" s="19"/>
      <c r="H698"/>
    </row>
    <row r="699" spans="4:8" x14ac:dyDescent="0.25">
      <c r="D699"/>
      <c r="G699" s="19"/>
      <c r="H699"/>
    </row>
    <row r="700" spans="4:8" x14ac:dyDescent="0.25">
      <c r="D700"/>
      <c r="G700" s="19"/>
      <c r="H700"/>
    </row>
    <row r="701" spans="4:8" x14ac:dyDescent="0.25">
      <c r="D701"/>
      <c r="G701" s="19"/>
      <c r="H701"/>
    </row>
    <row r="702" spans="4:8" x14ac:dyDescent="0.25">
      <c r="D702"/>
      <c r="G702" s="19"/>
      <c r="H702"/>
    </row>
    <row r="703" spans="4:8" x14ac:dyDescent="0.25">
      <c r="D703"/>
      <c r="G703" s="19"/>
      <c r="H703"/>
    </row>
    <row r="704" spans="4:8" x14ac:dyDescent="0.25">
      <c r="D704"/>
      <c r="G704" s="19"/>
      <c r="H704"/>
    </row>
    <row r="705" spans="4:8" x14ac:dyDescent="0.25">
      <c r="D705"/>
      <c r="G705" s="19"/>
      <c r="H705"/>
    </row>
    <row r="706" spans="4:8" x14ac:dyDescent="0.25">
      <c r="D706"/>
      <c r="G706" s="19"/>
      <c r="H706"/>
    </row>
    <row r="707" spans="4:8" x14ac:dyDescent="0.25">
      <c r="D707"/>
      <c r="G707" s="19"/>
      <c r="H707"/>
    </row>
    <row r="708" spans="4:8" x14ac:dyDescent="0.25">
      <c r="D708"/>
      <c r="G708" s="19"/>
      <c r="H708"/>
    </row>
    <row r="709" spans="4:8" x14ac:dyDescent="0.25">
      <c r="D709"/>
      <c r="G709" s="19"/>
      <c r="H709"/>
    </row>
    <row r="710" spans="4:8" x14ac:dyDescent="0.25">
      <c r="D710"/>
      <c r="G710" s="19"/>
      <c r="H710"/>
    </row>
    <row r="711" spans="4:8" x14ac:dyDescent="0.25">
      <c r="D711"/>
      <c r="G711" s="19"/>
      <c r="H711"/>
    </row>
    <row r="712" spans="4:8" x14ac:dyDescent="0.25">
      <c r="D712"/>
      <c r="G712" s="19"/>
      <c r="H712"/>
    </row>
    <row r="713" spans="4:8" x14ac:dyDescent="0.25">
      <c r="D713"/>
      <c r="G713" s="19"/>
      <c r="H713"/>
    </row>
    <row r="714" spans="4:8" x14ac:dyDescent="0.25">
      <c r="D714"/>
      <c r="G714" s="19"/>
      <c r="H714"/>
    </row>
    <row r="715" spans="4:8" x14ac:dyDescent="0.25">
      <c r="D715"/>
      <c r="G715" s="19"/>
      <c r="H715"/>
    </row>
    <row r="716" spans="4:8" x14ac:dyDescent="0.25">
      <c r="D716"/>
      <c r="G716" s="19"/>
      <c r="H716"/>
    </row>
    <row r="717" spans="4:8" x14ac:dyDescent="0.25">
      <c r="D717"/>
      <c r="G717" s="19"/>
      <c r="H717"/>
    </row>
    <row r="718" spans="4:8" x14ac:dyDescent="0.25">
      <c r="D718"/>
      <c r="G718" s="19"/>
      <c r="H718"/>
    </row>
    <row r="719" spans="4:8" x14ac:dyDescent="0.25">
      <c r="D719"/>
      <c r="G719" s="19"/>
      <c r="H719"/>
    </row>
    <row r="720" spans="4:8" x14ac:dyDescent="0.25">
      <c r="D720"/>
      <c r="G720" s="19"/>
      <c r="H720"/>
    </row>
    <row r="721" spans="4:8" x14ac:dyDescent="0.25">
      <c r="D721"/>
      <c r="G721" s="19"/>
      <c r="H721"/>
    </row>
    <row r="722" spans="4:8" x14ac:dyDescent="0.25">
      <c r="D722"/>
      <c r="G722" s="19"/>
      <c r="H722"/>
    </row>
    <row r="723" spans="4:8" x14ac:dyDescent="0.25">
      <c r="D723"/>
      <c r="G723" s="19"/>
      <c r="H723"/>
    </row>
    <row r="724" spans="4:8" x14ac:dyDescent="0.25">
      <c r="D724"/>
      <c r="G724" s="19"/>
      <c r="H724"/>
    </row>
    <row r="725" spans="4:8" x14ac:dyDescent="0.25">
      <c r="D725"/>
      <c r="G725" s="19"/>
      <c r="H725"/>
    </row>
    <row r="726" spans="4:8" x14ac:dyDescent="0.25">
      <c r="D726"/>
      <c r="G726" s="19"/>
      <c r="H726"/>
    </row>
    <row r="727" spans="4:8" x14ac:dyDescent="0.25">
      <c r="D727"/>
      <c r="G727" s="19"/>
      <c r="H727"/>
    </row>
    <row r="728" spans="4:8" x14ac:dyDescent="0.25">
      <c r="D728"/>
      <c r="G728" s="19"/>
      <c r="H728"/>
    </row>
    <row r="729" spans="4:8" x14ac:dyDescent="0.25">
      <c r="D729"/>
      <c r="G729" s="19"/>
      <c r="H729"/>
    </row>
    <row r="730" spans="4:8" x14ac:dyDescent="0.25">
      <c r="D730"/>
      <c r="G730" s="19"/>
      <c r="H730"/>
    </row>
    <row r="731" spans="4:8" x14ac:dyDescent="0.25">
      <c r="D731"/>
      <c r="G731" s="19"/>
      <c r="H731"/>
    </row>
    <row r="732" spans="4:8" x14ac:dyDescent="0.25">
      <c r="D732"/>
      <c r="G732" s="19"/>
      <c r="H732"/>
    </row>
    <row r="733" spans="4:8" x14ac:dyDescent="0.25">
      <c r="D733"/>
      <c r="G733" s="19"/>
      <c r="H733"/>
    </row>
    <row r="734" spans="4:8" x14ac:dyDescent="0.25">
      <c r="D734"/>
      <c r="G734" s="19"/>
      <c r="H734"/>
    </row>
    <row r="735" spans="4:8" x14ac:dyDescent="0.25">
      <c r="D735"/>
      <c r="G735" s="19"/>
      <c r="H735"/>
    </row>
    <row r="736" spans="4:8" x14ac:dyDescent="0.25">
      <c r="D736"/>
      <c r="G736" s="19"/>
      <c r="H736"/>
    </row>
    <row r="737" spans="4:8" x14ac:dyDescent="0.25">
      <c r="D737"/>
      <c r="G737" s="19"/>
      <c r="H737"/>
    </row>
    <row r="738" spans="4:8" x14ac:dyDescent="0.25">
      <c r="D738"/>
      <c r="G738" s="19"/>
      <c r="H738"/>
    </row>
    <row r="739" spans="4:8" x14ac:dyDescent="0.25">
      <c r="D739"/>
      <c r="G739" s="19"/>
      <c r="H739"/>
    </row>
    <row r="740" spans="4:8" x14ac:dyDescent="0.25">
      <c r="D740"/>
      <c r="G740" s="19"/>
      <c r="H740"/>
    </row>
    <row r="741" spans="4:8" x14ac:dyDescent="0.25">
      <c r="D741"/>
      <c r="G741" s="19"/>
      <c r="H741"/>
    </row>
    <row r="742" spans="4:8" x14ac:dyDescent="0.25">
      <c r="D742"/>
      <c r="G742" s="19"/>
      <c r="H742"/>
    </row>
    <row r="743" spans="4:8" x14ac:dyDescent="0.25">
      <c r="D743"/>
      <c r="G743" s="19"/>
      <c r="H743"/>
    </row>
    <row r="744" spans="4:8" x14ac:dyDescent="0.25">
      <c r="D744"/>
      <c r="G744" s="19"/>
      <c r="H744"/>
    </row>
    <row r="745" spans="4:8" x14ac:dyDescent="0.25">
      <c r="D745"/>
      <c r="G745" s="19"/>
      <c r="H745"/>
    </row>
    <row r="746" spans="4:8" x14ac:dyDescent="0.25">
      <c r="D746"/>
      <c r="G746" s="19"/>
      <c r="H746"/>
    </row>
    <row r="747" spans="4:8" x14ac:dyDescent="0.25">
      <c r="D747"/>
      <c r="G747" s="19"/>
      <c r="H747"/>
    </row>
    <row r="748" spans="4:8" x14ac:dyDescent="0.25">
      <c r="D748"/>
      <c r="G748" s="19"/>
      <c r="H748"/>
    </row>
    <row r="749" spans="4:8" x14ac:dyDescent="0.25">
      <c r="D749"/>
      <c r="G749" s="19"/>
      <c r="H749"/>
    </row>
    <row r="750" spans="4:8" x14ac:dyDescent="0.25">
      <c r="D750"/>
      <c r="G750" s="19"/>
      <c r="H750"/>
    </row>
    <row r="751" spans="4:8" x14ac:dyDescent="0.25">
      <c r="D751"/>
      <c r="G751" s="19"/>
      <c r="H751"/>
    </row>
    <row r="752" spans="4:8" x14ac:dyDescent="0.25">
      <c r="D752"/>
      <c r="G752" s="19"/>
      <c r="H752"/>
    </row>
    <row r="753" spans="4:8" x14ac:dyDescent="0.25">
      <c r="D753"/>
      <c r="G753" s="19"/>
      <c r="H753"/>
    </row>
    <row r="754" spans="4:8" x14ac:dyDescent="0.25">
      <c r="D754"/>
      <c r="G754" s="19"/>
      <c r="H754"/>
    </row>
    <row r="755" spans="4:8" x14ac:dyDescent="0.25">
      <c r="D755"/>
      <c r="G755" s="19"/>
      <c r="H755"/>
    </row>
    <row r="756" spans="4:8" x14ac:dyDescent="0.25">
      <c r="D756"/>
      <c r="G756" s="19"/>
      <c r="H756"/>
    </row>
    <row r="757" spans="4:8" x14ac:dyDescent="0.25">
      <c r="D757"/>
      <c r="G757" s="19"/>
      <c r="H757"/>
    </row>
    <row r="758" spans="4:8" x14ac:dyDescent="0.25">
      <c r="D758"/>
      <c r="G758" s="19"/>
      <c r="H758"/>
    </row>
    <row r="759" spans="4:8" x14ac:dyDescent="0.25">
      <c r="D759"/>
      <c r="G759" s="19"/>
      <c r="H759"/>
    </row>
    <row r="760" spans="4:8" x14ac:dyDescent="0.25">
      <c r="D760"/>
      <c r="G760" s="19"/>
      <c r="H760"/>
    </row>
    <row r="761" spans="4:8" x14ac:dyDescent="0.25">
      <c r="D761"/>
      <c r="G761" s="19"/>
      <c r="H761"/>
    </row>
    <row r="762" spans="4:8" x14ac:dyDescent="0.25">
      <c r="D762"/>
      <c r="G762" s="19"/>
      <c r="H762"/>
    </row>
    <row r="763" spans="4:8" x14ac:dyDescent="0.25">
      <c r="D763"/>
      <c r="G763" s="19"/>
      <c r="H763"/>
    </row>
    <row r="764" spans="4:8" x14ac:dyDescent="0.25">
      <c r="D764"/>
      <c r="G764" s="19"/>
      <c r="H764"/>
    </row>
    <row r="765" spans="4:8" x14ac:dyDescent="0.25">
      <c r="D765"/>
      <c r="G765" s="19"/>
      <c r="H765"/>
    </row>
    <row r="766" spans="4:8" x14ac:dyDescent="0.25">
      <c r="D766"/>
      <c r="G766" s="19"/>
      <c r="H766"/>
    </row>
    <row r="767" spans="4:8" x14ac:dyDescent="0.25">
      <c r="D767"/>
      <c r="G767" s="19"/>
      <c r="H767"/>
    </row>
    <row r="768" spans="4:8" x14ac:dyDescent="0.25">
      <c r="D768"/>
      <c r="G768" s="19"/>
      <c r="H768"/>
    </row>
    <row r="769" spans="4:8" x14ac:dyDescent="0.25">
      <c r="D769"/>
      <c r="G769" s="19"/>
      <c r="H769"/>
    </row>
    <row r="770" spans="4:8" x14ac:dyDescent="0.25">
      <c r="D770"/>
      <c r="G770" s="19"/>
      <c r="H770"/>
    </row>
    <row r="771" spans="4:8" x14ac:dyDescent="0.25">
      <c r="D771"/>
      <c r="G771" s="19"/>
      <c r="H771"/>
    </row>
    <row r="772" spans="4:8" x14ac:dyDescent="0.25">
      <c r="D772"/>
      <c r="G772" s="19"/>
      <c r="H772"/>
    </row>
    <row r="773" spans="4:8" x14ac:dyDescent="0.25">
      <c r="D773"/>
      <c r="G773" s="19"/>
      <c r="H773"/>
    </row>
    <row r="774" spans="4:8" x14ac:dyDescent="0.25">
      <c r="D774"/>
      <c r="G774" s="19"/>
      <c r="H774"/>
    </row>
    <row r="775" spans="4:8" x14ac:dyDescent="0.25">
      <c r="D775"/>
      <c r="G775" s="19"/>
      <c r="H775"/>
    </row>
    <row r="776" spans="4:8" x14ac:dyDescent="0.25">
      <c r="D776"/>
      <c r="G776" s="19"/>
      <c r="H776"/>
    </row>
    <row r="777" spans="4:8" x14ac:dyDescent="0.25">
      <c r="D777"/>
      <c r="G777" s="19"/>
      <c r="H777"/>
    </row>
    <row r="778" spans="4:8" x14ac:dyDescent="0.25">
      <c r="D778"/>
      <c r="G778" s="19"/>
      <c r="H778"/>
    </row>
    <row r="779" spans="4:8" x14ac:dyDescent="0.25">
      <c r="D779"/>
      <c r="G779" s="19"/>
      <c r="H779"/>
    </row>
    <row r="780" spans="4:8" x14ac:dyDescent="0.25">
      <c r="D780"/>
      <c r="G780" s="19"/>
      <c r="H780"/>
    </row>
    <row r="781" spans="4:8" x14ac:dyDescent="0.25">
      <c r="D781"/>
      <c r="G781" s="19"/>
      <c r="H781"/>
    </row>
    <row r="782" spans="4:8" x14ac:dyDescent="0.25">
      <c r="D782"/>
      <c r="G782" s="19"/>
      <c r="H782"/>
    </row>
    <row r="783" spans="4:8" x14ac:dyDescent="0.25">
      <c r="D783"/>
      <c r="G783" s="19"/>
      <c r="H783"/>
    </row>
    <row r="784" spans="4:8" x14ac:dyDescent="0.25">
      <c r="D784"/>
      <c r="G784" s="19"/>
      <c r="H784"/>
    </row>
    <row r="785" spans="4:8" x14ac:dyDescent="0.25">
      <c r="D785"/>
      <c r="G785" s="19"/>
      <c r="H785"/>
    </row>
    <row r="786" spans="4:8" x14ac:dyDescent="0.25">
      <c r="D786"/>
      <c r="G786" s="19"/>
      <c r="H786"/>
    </row>
    <row r="787" spans="4:8" x14ac:dyDescent="0.25">
      <c r="D787"/>
      <c r="G787" s="19"/>
      <c r="H787"/>
    </row>
    <row r="788" spans="4:8" x14ac:dyDescent="0.25">
      <c r="D788"/>
      <c r="G788" s="19"/>
      <c r="H788"/>
    </row>
    <row r="789" spans="4:8" x14ac:dyDescent="0.25">
      <c r="D789"/>
      <c r="G789" s="19"/>
      <c r="H789"/>
    </row>
    <row r="790" spans="4:8" x14ac:dyDescent="0.25">
      <c r="D790"/>
      <c r="G790" s="19"/>
      <c r="H790"/>
    </row>
    <row r="791" spans="4:8" x14ac:dyDescent="0.25">
      <c r="D791"/>
      <c r="G791" s="19"/>
      <c r="H791"/>
    </row>
    <row r="792" spans="4:8" x14ac:dyDescent="0.25">
      <c r="D792"/>
      <c r="G792" s="19"/>
      <c r="H792"/>
    </row>
    <row r="793" spans="4:8" x14ac:dyDescent="0.25">
      <c r="D793"/>
      <c r="G793" s="19"/>
      <c r="H793"/>
    </row>
    <row r="794" spans="4:8" x14ac:dyDescent="0.25">
      <c r="D794"/>
      <c r="G794" s="19"/>
      <c r="H794"/>
    </row>
    <row r="795" spans="4:8" x14ac:dyDescent="0.25">
      <c r="D795"/>
      <c r="G795" s="19"/>
      <c r="H795"/>
    </row>
    <row r="796" spans="4:8" x14ac:dyDescent="0.25">
      <c r="D796"/>
      <c r="G796" s="19"/>
      <c r="H796"/>
    </row>
    <row r="797" spans="4:8" x14ac:dyDescent="0.25">
      <c r="D797"/>
      <c r="G797" s="19"/>
      <c r="H797"/>
    </row>
    <row r="798" spans="4:8" x14ac:dyDescent="0.25">
      <c r="D798"/>
      <c r="G798" s="19"/>
      <c r="H798"/>
    </row>
    <row r="799" spans="4:8" x14ac:dyDescent="0.25">
      <c r="D799"/>
      <c r="G799" s="19"/>
      <c r="H799"/>
    </row>
    <row r="800" spans="4:8" x14ac:dyDescent="0.25">
      <c r="D800"/>
      <c r="G800" s="19"/>
      <c r="H800"/>
    </row>
    <row r="801" spans="4:8" x14ac:dyDescent="0.25">
      <c r="D801"/>
      <c r="G801" s="19"/>
      <c r="H801"/>
    </row>
    <row r="802" spans="4:8" x14ac:dyDescent="0.25">
      <c r="D802"/>
      <c r="G802" s="19"/>
      <c r="H802"/>
    </row>
    <row r="803" spans="4:8" x14ac:dyDescent="0.25">
      <c r="D803"/>
      <c r="G803" s="19"/>
      <c r="H803"/>
    </row>
    <row r="804" spans="4:8" x14ac:dyDescent="0.25">
      <c r="D804"/>
      <c r="G804" s="19"/>
      <c r="H804"/>
    </row>
    <row r="805" spans="4:8" x14ac:dyDescent="0.25">
      <c r="D805"/>
      <c r="G805" s="19"/>
      <c r="H805"/>
    </row>
    <row r="806" spans="4:8" x14ac:dyDescent="0.25">
      <c r="D806"/>
      <c r="G806" s="19"/>
      <c r="H806"/>
    </row>
    <row r="807" spans="4:8" x14ac:dyDescent="0.25">
      <c r="D807"/>
      <c r="G807" s="19"/>
      <c r="H807"/>
    </row>
    <row r="808" spans="4:8" x14ac:dyDescent="0.25">
      <c r="D808"/>
      <c r="G808" s="19"/>
      <c r="H808"/>
    </row>
    <row r="809" spans="4:8" x14ac:dyDescent="0.25">
      <c r="D809"/>
      <c r="G809" s="19"/>
      <c r="H809"/>
    </row>
    <row r="810" spans="4:8" x14ac:dyDescent="0.25">
      <c r="D810"/>
      <c r="G810" s="19"/>
      <c r="H810"/>
    </row>
    <row r="811" spans="4:8" x14ac:dyDescent="0.25">
      <c r="D811"/>
      <c r="G811" s="19"/>
      <c r="H811"/>
    </row>
    <row r="812" spans="4:8" x14ac:dyDescent="0.25">
      <c r="D812"/>
      <c r="G812" s="19"/>
      <c r="H812"/>
    </row>
    <row r="813" spans="4:8" x14ac:dyDescent="0.25">
      <c r="D813"/>
      <c r="G813" s="19"/>
      <c r="H813"/>
    </row>
    <row r="814" spans="4:8" x14ac:dyDescent="0.25">
      <c r="D814"/>
      <c r="G814" s="19"/>
      <c r="H814"/>
    </row>
    <row r="815" spans="4:8" x14ac:dyDescent="0.25">
      <c r="D815"/>
      <c r="G815" s="19"/>
      <c r="H815"/>
    </row>
    <row r="816" spans="4:8" x14ac:dyDescent="0.25">
      <c r="D816"/>
      <c r="G816" s="19"/>
      <c r="H816"/>
    </row>
    <row r="817" spans="4:8" x14ac:dyDescent="0.25">
      <c r="D817"/>
      <c r="G817" s="19"/>
      <c r="H817"/>
    </row>
    <row r="818" spans="4:8" x14ac:dyDescent="0.25">
      <c r="D818"/>
      <c r="G818" s="19"/>
      <c r="H818"/>
    </row>
    <row r="819" spans="4:8" x14ac:dyDescent="0.25">
      <c r="D819"/>
      <c r="G819" s="19"/>
      <c r="H819"/>
    </row>
    <row r="820" spans="4:8" x14ac:dyDescent="0.25">
      <c r="D820"/>
      <c r="G820" s="19"/>
      <c r="H820"/>
    </row>
    <row r="821" spans="4:8" x14ac:dyDescent="0.25">
      <c r="D821"/>
      <c r="G821" s="19"/>
      <c r="H821"/>
    </row>
    <row r="822" spans="4:8" x14ac:dyDescent="0.25">
      <c r="D822"/>
      <c r="G822" s="19"/>
      <c r="H822"/>
    </row>
    <row r="823" spans="4:8" x14ac:dyDescent="0.25">
      <c r="D823"/>
      <c r="G823" s="19"/>
      <c r="H823"/>
    </row>
    <row r="824" spans="4:8" x14ac:dyDescent="0.25">
      <c r="D824"/>
      <c r="G824" s="19"/>
      <c r="H824"/>
    </row>
    <row r="825" spans="4:8" x14ac:dyDescent="0.25">
      <c r="D825"/>
      <c r="G825" s="19"/>
      <c r="H825"/>
    </row>
    <row r="826" spans="4:8" x14ac:dyDescent="0.25">
      <c r="D826"/>
      <c r="G826" s="19"/>
      <c r="H826"/>
    </row>
    <row r="827" spans="4:8" x14ac:dyDescent="0.25">
      <c r="D827"/>
      <c r="G827" s="19"/>
      <c r="H827"/>
    </row>
    <row r="828" spans="4:8" x14ac:dyDescent="0.25">
      <c r="D828"/>
      <c r="G828" s="19"/>
      <c r="H828"/>
    </row>
    <row r="829" spans="4:8" x14ac:dyDescent="0.25">
      <c r="D829"/>
      <c r="G829" s="19"/>
      <c r="H829"/>
    </row>
    <row r="830" spans="4:8" x14ac:dyDescent="0.25">
      <c r="D830"/>
      <c r="G830" s="19"/>
      <c r="H830"/>
    </row>
    <row r="831" spans="4:8" x14ac:dyDescent="0.25">
      <c r="D831"/>
      <c r="G831" s="19"/>
      <c r="H831"/>
    </row>
    <row r="832" spans="4:8" x14ac:dyDescent="0.25">
      <c r="D832"/>
      <c r="G832" s="19"/>
      <c r="H832"/>
    </row>
    <row r="833" spans="4:8" x14ac:dyDescent="0.25">
      <c r="D833"/>
      <c r="G833" s="19"/>
      <c r="H833"/>
    </row>
    <row r="834" spans="4:8" x14ac:dyDescent="0.25">
      <c r="D834"/>
      <c r="G834" s="19"/>
      <c r="H834"/>
    </row>
    <row r="835" spans="4:8" x14ac:dyDescent="0.25">
      <c r="D835"/>
      <c r="G835" s="19"/>
      <c r="H835"/>
    </row>
    <row r="836" spans="4:8" x14ac:dyDescent="0.25">
      <c r="D836"/>
      <c r="G836" s="19"/>
      <c r="H836"/>
    </row>
    <row r="837" spans="4:8" x14ac:dyDescent="0.25">
      <c r="D837"/>
      <c r="G837" s="19"/>
      <c r="H837"/>
    </row>
    <row r="838" spans="4:8" x14ac:dyDescent="0.25">
      <c r="D838"/>
      <c r="G838" s="19"/>
      <c r="H838"/>
    </row>
    <row r="839" spans="4:8" x14ac:dyDescent="0.25">
      <c r="D839"/>
      <c r="G839" s="19"/>
      <c r="H839"/>
    </row>
    <row r="840" spans="4:8" x14ac:dyDescent="0.25">
      <c r="D840"/>
      <c r="G840" s="19"/>
      <c r="H840"/>
    </row>
    <row r="841" spans="4:8" x14ac:dyDescent="0.25">
      <c r="D841"/>
      <c r="G841" s="19"/>
      <c r="H841"/>
    </row>
    <row r="842" spans="4:8" x14ac:dyDescent="0.25">
      <c r="D842"/>
      <c r="G842" s="19"/>
      <c r="H842"/>
    </row>
    <row r="843" spans="4:8" x14ac:dyDescent="0.25">
      <c r="D843"/>
      <c r="G843" s="19"/>
      <c r="H843"/>
    </row>
    <row r="844" spans="4:8" x14ac:dyDescent="0.25">
      <c r="D844"/>
      <c r="G844" s="19"/>
      <c r="H844"/>
    </row>
    <row r="845" spans="4:8" x14ac:dyDescent="0.25">
      <c r="D845"/>
      <c r="G845" s="19"/>
      <c r="H845"/>
    </row>
    <row r="846" spans="4:8" x14ac:dyDescent="0.25">
      <c r="D846"/>
      <c r="G846" s="19"/>
      <c r="H846"/>
    </row>
    <row r="847" spans="4:8" x14ac:dyDescent="0.25">
      <c r="D847"/>
      <c r="G847" s="19"/>
      <c r="H847"/>
    </row>
    <row r="848" spans="4:8" x14ac:dyDescent="0.25">
      <c r="D848"/>
      <c r="G848" s="19"/>
      <c r="H848"/>
    </row>
    <row r="849" spans="4:8" x14ac:dyDescent="0.25">
      <c r="D849"/>
      <c r="G849" s="19"/>
      <c r="H849"/>
    </row>
    <row r="850" spans="4:8" x14ac:dyDescent="0.25">
      <c r="D850"/>
      <c r="G850" s="19"/>
      <c r="H850"/>
    </row>
    <row r="851" spans="4:8" x14ac:dyDescent="0.25">
      <c r="D851"/>
      <c r="G851" s="19"/>
      <c r="H851"/>
    </row>
    <row r="852" spans="4:8" x14ac:dyDescent="0.25">
      <c r="D852"/>
      <c r="G852" s="19"/>
      <c r="H852"/>
    </row>
    <row r="853" spans="4:8" x14ac:dyDescent="0.25">
      <c r="D853"/>
      <c r="G853" s="19"/>
      <c r="H853"/>
    </row>
    <row r="854" spans="4:8" x14ac:dyDescent="0.25">
      <c r="D854"/>
      <c r="G854" s="19"/>
      <c r="H854"/>
    </row>
    <row r="855" spans="4:8" x14ac:dyDescent="0.25">
      <c r="D855"/>
      <c r="G855" s="19"/>
      <c r="H855"/>
    </row>
    <row r="856" spans="4:8" x14ac:dyDescent="0.25">
      <c r="D856"/>
      <c r="G856" s="19"/>
      <c r="H856"/>
    </row>
    <row r="857" spans="4:8" x14ac:dyDescent="0.25">
      <c r="D857"/>
      <c r="G857" s="19"/>
      <c r="H857"/>
    </row>
    <row r="858" spans="4:8" x14ac:dyDescent="0.25">
      <c r="D858"/>
      <c r="G858" s="19"/>
      <c r="H858"/>
    </row>
    <row r="859" spans="4:8" x14ac:dyDescent="0.25">
      <c r="D859"/>
      <c r="G859" s="19"/>
      <c r="H859"/>
    </row>
    <row r="860" spans="4:8" x14ac:dyDescent="0.25">
      <c r="D860"/>
      <c r="G860" s="19"/>
      <c r="H860"/>
    </row>
    <row r="861" spans="4:8" x14ac:dyDescent="0.25">
      <c r="D861"/>
      <c r="G861" s="19"/>
      <c r="H861"/>
    </row>
    <row r="862" spans="4:8" x14ac:dyDescent="0.25">
      <c r="D862"/>
      <c r="G862" s="19"/>
      <c r="H862"/>
    </row>
    <row r="863" spans="4:8" x14ac:dyDescent="0.25">
      <c r="D863"/>
      <c r="G863" s="19"/>
      <c r="H863"/>
    </row>
    <row r="864" spans="4:8" x14ac:dyDescent="0.25">
      <c r="D864"/>
      <c r="G864" s="19"/>
      <c r="H864"/>
    </row>
    <row r="865" spans="4:8" x14ac:dyDescent="0.25">
      <c r="D865"/>
      <c r="G865" s="19"/>
      <c r="H865"/>
    </row>
    <row r="866" spans="4:8" x14ac:dyDescent="0.25">
      <c r="D866"/>
      <c r="G866" s="19"/>
      <c r="H866"/>
    </row>
    <row r="867" spans="4:8" x14ac:dyDescent="0.25">
      <c r="D867"/>
      <c r="G867" s="19"/>
      <c r="H867"/>
    </row>
    <row r="868" spans="4:8" x14ac:dyDescent="0.25">
      <c r="D868"/>
      <c r="G868" s="19"/>
      <c r="H868"/>
    </row>
    <row r="869" spans="4:8" x14ac:dyDescent="0.25">
      <c r="D869"/>
      <c r="G869" s="19"/>
      <c r="H869"/>
    </row>
    <row r="870" spans="4:8" x14ac:dyDescent="0.25">
      <c r="D870"/>
      <c r="G870" s="19"/>
      <c r="H870"/>
    </row>
    <row r="871" spans="4:8" x14ac:dyDescent="0.25">
      <c r="D871"/>
      <c r="G871" s="19"/>
      <c r="H871"/>
    </row>
    <row r="872" spans="4:8" x14ac:dyDescent="0.25">
      <c r="D872"/>
      <c r="G872" s="19"/>
      <c r="H872"/>
    </row>
    <row r="873" spans="4:8" x14ac:dyDescent="0.25">
      <c r="D873"/>
      <c r="G873" s="19"/>
      <c r="H873"/>
    </row>
    <row r="874" spans="4:8" x14ac:dyDescent="0.25">
      <c r="D874"/>
      <c r="G874" s="19"/>
      <c r="H874"/>
    </row>
    <row r="875" spans="4:8" x14ac:dyDescent="0.25">
      <c r="D875"/>
      <c r="G875" s="19"/>
      <c r="H875"/>
    </row>
    <row r="876" spans="4:8" x14ac:dyDescent="0.25">
      <c r="D876"/>
      <c r="G876" s="19"/>
      <c r="H876"/>
    </row>
    <row r="877" spans="4:8" x14ac:dyDescent="0.25">
      <c r="D877"/>
      <c r="G877" s="19"/>
      <c r="H877"/>
    </row>
    <row r="878" spans="4:8" x14ac:dyDescent="0.25">
      <c r="D878"/>
      <c r="G878" s="19"/>
      <c r="H878"/>
    </row>
    <row r="879" spans="4:8" x14ac:dyDescent="0.25">
      <c r="D879"/>
      <c r="G879" s="19"/>
      <c r="H879"/>
    </row>
    <row r="880" spans="4:8" x14ac:dyDescent="0.25">
      <c r="D880"/>
      <c r="G880" s="19"/>
      <c r="H880"/>
    </row>
    <row r="881" spans="4:8" x14ac:dyDescent="0.25">
      <c r="D881"/>
      <c r="G881" s="19"/>
      <c r="H881"/>
    </row>
    <row r="882" spans="4:8" x14ac:dyDescent="0.25">
      <c r="D882"/>
      <c r="G882" s="19"/>
      <c r="H882"/>
    </row>
    <row r="883" spans="4:8" x14ac:dyDescent="0.25">
      <c r="D883"/>
      <c r="G883" s="19"/>
      <c r="H883"/>
    </row>
    <row r="884" spans="4:8" x14ac:dyDescent="0.25">
      <c r="D884"/>
      <c r="G884" s="19"/>
      <c r="H884"/>
    </row>
    <row r="885" spans="4:8" x14ac:dyDescent="0.25">
      <c r="D885"/>
      <c r="G885" s="19"/>
      <c r="H885"/>
    </row>
    <row r="886" spans="4:8" x14ac:dyDescent="0.25">
      <c r="D886"/>
      <c r="G886" s="19"/>
      <c r="H886"/>
    </row>
    <row r="887" spans="4:8" x14ac:dyDescent="0.25">
      <c r="D887"/>
      <c r="G887" s="19"/>
      <c r="H887"/>
    </row>
    <row r="888" spans="4:8" x14ac:dyDescent="0.25">
      <c r="D888"/>
      <c r="G888" s="19"/>
      <c r="H888"/>
    </row>
    <row r="889" spans="4:8" x14ac:dyDescent="0.25">
      <c r="D889"/>
      <c r="G889" s="19"/>
      <c r="H889"/>
    </row>
    <row r="890" spans="4:8" x14ac:dyDescent="0.25">
      <c r="D890"/>
      <c r="G890" s="19"/>
      <c r="H890"/>
    </row>
    <row r="891" spans="4:8" x14ac:dyDescent="0.25">
      <c r="D891"/>
      <c r="G891" s="19"/>
      <c r="H891"/>
    </row>
    <row r="892" spans="4:8" x14ac:dyDescent="0.25">
      <c r="D892"/>
      <c r="G892" s="19"/>
      <c r="H892"/>
    </row>
    <row r="893" spans="4:8" x14ac:dyDescent="0.25">
      <c r="D893"/>
      <c r="G893" s="19"/>
      <c r="H893"/>
    </row>
    <row r="894" spans="4:8" x14ac:dyDescent="0.25">
      <c r="D894"/>
      <c r="G894" s="19"/>
      <c r="H894"/>
    </row>
    <row r="895" spans="4:8" x14ac:dyDescent="0.25">
      <c r="D895"/>
      <c r="G895" s="19"/>
      <c r="H895"/>
    </row>
    <row r="896" spans="4:8" x14ac:dyDescent="0.25">
      <c r="D896"/>
      <c r="G896" s="19"/>
      <c r="H896"/>
    </row>
    <row r="897" spans="4:8" x14ac:dyDescent="0.25">
      <c r="D897"/>
      <c r="G897" s="19"/>
      <c r="H897"/>
    </row>
    <row r="898" spans="4:8" x14ac:dyDescent="0.25">
      <c r="D898"/>
      <c r="G898" s="19"/>
      <c r="H898"/>
    </row>
    <row r="899" spans="4:8" x14ac:dyDescent="0.25">
      <c r="D899"/>
      <c r="G899" s="19"/>
      <c r="H899"/>
    </row>
    <row r="900" spans="4:8" x14ac:dyDescent="0.25">
      <c r="D900"/>
      <c r="G900" s="19"/>
      <c r="H900"/>
    </row>
    <row r="901" spans="4:8" x14ac:dyDescent="0.25">
      <c r="D901"/>
      <c r="G901" s="19"/>
      <c r="H901"/>
    </row>
    <row r="902" spans="4:8" x14ac:dyDescent="0.25">
      <c r="D902"/>
      <c r="G902" s="19"/>
      <c r="H902"/>
    </row>
    <row r="903" spans="4:8" x14ac:dyDescent="0.25">
      <c r="D903"/>
      <c r="G903" s="19"/>
      <c r="H903"/>
    </row>
    <row r="904" spans="4:8" x14ac:dyDescent="0.25">
      <c r="D904"/>
      <c r="G904" s="19"/>
      <c r="H904"/>
    </row>
    <row r="905" spans="4:8" x14ac:dyDescent="0.25">
      <c r="D905"/>
      <c r="G905" s="19"/>
      <c r="H905"/>
    </row>
    <row r="906" spans="4:8" x14ac:dyDescent="0.25">
      <c r="D906"/>
      <c r="G906" s="19"/>
      <c r="H906"/>
    </row>
    <row r="907" spans="4:8" x14ac:dyDescent="0.25">
      <c r="D907"/>
      <c r="G907" s="19"/>
      <c r="H907"/>
    </row>
    <row r="908" spans="4:8" x14ac:dyDescent="0.25">
      <c r="D908"/>
      <c r="G908" s="19"/>
      <c r="H908"/>
    </row>
    <row r="909" spans="4:8" x14ac:dyDescent="0.25">
      <c r="D909"/>
      <c r="G909" s="19"/>
      <c r="H909"/>
    </row>
    <row r="910" spans="4:8" x14ac:dyDescent="0.25">
      <c r="D910"/>
      <c r="G910" s="19"/>
      <c r="H910"/>
    </row>
    <row r="911" spans="4:8" x14ac:dyDescent="0.25">
      <c r="D911"/>
      <c r="G911" s="19"/>
      <c r="H911"/>
    </row>
    <row r="912" spans="4:8" x14ac:dyDescent="0.25">
      <c r="D912"/>
      <c r="G912" s="19"/>
      <c r="H912"/>
    </row>
    <row r="913" spans="4:8" x14ac:dyDescent="0.25">
      <c r="D913"/>
      <c r="G913" s="19"/>
      <c r="H913"/>
    </row>
    <row r="914" spans="4:8" x14ac:dyDescent="0.25">
      <c r="D914"/>
      <c r="G914" s="19"/>
      <c r="H914"/>
    </row>
    <row r="915" spans="4:8" x14ac:dyDescent="0.25">
      <c r="D915"/>
      <c r="G915" s="19"/>
      <c r="H915"/>
    </row>
    <row r="916" spans="4:8" x14ac:dyDescent="0.25">
      <c r="D916"/>
      <c r="G916" s="19"/>
      <c r="H916"/>
    </row>
    <row r="917" spans="4:8" x14ac:dyDescent="0.25">
      <c r="D917"/>
      <c r="G917" s="19"/>
      <c r="H917"/>
    </row>
    <row r="918" spans="4:8" x14ac:dyDescent="0.25">
      <c r="D918"/>
      <c r="G918" s="19"/>
      <c r="H918"/>
    </row>
    <row r="919" spans="4:8" x14ac:dyDescent="0.25">
      <c r="D919"/>
      <c r="G919" s="19"/>
      <c r="H919"/>
    </row>
    <row r="920" spans="4:8" x14ac:dyDescent="0.25">
      <c r="D920"/>
      <c r="G920" s="19"/>
      <c r="H920"/>
    </row>
    <row r="921" spans="4:8" x14ac:dyDescent="0.25">
      <c r="D921"/>
      <c r="G921" s="19"/>
      <c r="H921"/>
    </row>
    <row r="922" spans="4:8" x14ac:dyDescent="0.25">
      <c r="D922"/>
      <c r="G922" s="19"/>
      <c r="H922"/>
    </row>
    <row r="923" spans="4:8" x14ac:dyDescent="0.25">
      <c r="D923"/>
      <c r="G923" s="19"/>
      <c r="H923"/>
    </row>
    <row r="924" spans="4:8" x14ac:dyDescent="0.25">
      <c r="D924"/>
      <c r="G924" s="19"/>
      <c r="H924"/>
    </row>
    <row r="925" spans="4:8" x14ac:dyDescent="0.25">
      <c r="D925"/>
      <c r="G925" s="19"/>
      <c r="H925"/>
    </row>
    <row r="926" spans="4:8" x14ac:dyDescent="0.25">
      <c r="D926"/>
      <c r="G926" s="19"/>
      <c r="H926"/>
    </row>
    <row r="927" spans="4:8" x14ac:dyDescent="0.25">
      <c r="D927"/>
      <c r="G927" s="19"/>
      <c r="H927"/>
    </row>
    <row r="928" spans="4:8" x14ac:dyDescent="0.25">
      <c r="D928"/>
      <c r="G928" s="19"/>
      <c r="H928"/>
    </row>
    <row r="929" spans="4:8" x14ac:dyDescent="0.25">
      <c r="D929"/>
      <c r="G929" s="19"/>
      <c r="H929"/>
    </row>
    <row r="930" spans="4:8" x14ac:dyDescent="0.25">
      <c r="D930"/>
      <c r="G930" s="19"/>
      <c r="H930"/>
    </row>
    <row r="931" spans="4:8" x14ac:dyDescent="0.25">
      <c r="D931"/>
      <c r="G931" s="19"/>
      <c r="H931"/>
    </row>
    <row r="932" spans="4:8" x14ac:dyDescent="0.25">
      <c r="D932"/>
      <c r="G932" s="19"/>
      <c r="H932"/>
    </row>
    <row r="933" spans="4:8" x14ac:dyDescent="0.25">
      <c r="D933"/>
      <c r="G933" s="19"/>
      <c r="H933"/>
    </row>
    <row r="934" spans="4:8" x14ac:dyDescent="0.25">
      <c r="D934"/>
      <c r="G934" s="19"/>
      <c r="H934"/>
    </row>
    <row r="935" spans="4:8" x14ac:dyDescent="0.25">
      <c r="D935"/>
      <c r="G935" s="19"/>
      <c r="H935"/>
    </row>
    <row r="936" spans="4:8" x14ac:dyDescent="0.25">
      <c r="D936"/>
      <c r="G936" s="19"/>
      <c r="H936"/>
    </row>
    <row r="937" spans="4:8" x14ac:dyDescent="0.25">
      <c r="D937"/>
      <c r="G937" s="19"/>
      <c r="H937"/>
    </row>
    <row r="938" spans="4:8" x14ac:dyDescent="0.25">
      <c r="D938"/>
      <c r="G938" s="19"/>
      <c r="H938"/>
    </row>
    <row r="939" spans="4:8" x14ac:dyDescent="0.25">
      <c r="D939"/>
      <c r="G939" s="19"/>
      <c r="H939"/>
    </row>
    <row r="940" spans="4:8" x14ac:dyDescent="0.25">
      <c r="D940"/>
      <c r="G940" s="19"/>
      <c r="H940"/>
    </row>
    <row r="941" spans="4:8" x14ac:dyDescent="0.25">
      <c r="D941"/>
      <c r="G941" s="19"/>
      <c r="H941"/>
    </row>
    <row r="942" spans="4:8" x14ac:dyDescent="0.25">
      <c r="D942"/>
      <c r="G942" s="19"/>
      <c r="H942"/>
    </row>
    <row r="943" spans="4:8" x14ac:dyDescent="0.25">
      <c r="D943"/>
      <c r="G943" s="19"/>
      <c r="H943"/>
    </row>
    <row r="944" spans="4:8" x14ac:dyDescent="0.25">
      <c r="D944"/>
      <c r="G944" s="19"/>
      <c r="H944"/>
    </row>
    <row r="945" spans="4:8" x14ac:dyDescent="0.25">
      <c r="D945"/>
      <c r="G945" s="19"/>
      <c r="H945"/>
    </row>
    <row r="946" spans="4:8" x14ac:dyDescent="0.25">
      <c r="D946"/>
      <c r="G946" s="19"/>
      <c r="H946"/>
    </row>
    <row r="947" spans="4:8" x14ac:dyDescent="0.25">
      <c r="D947"/>
      <c r="G947" s="19"/>
      <c r="H947"/>
    </row>
    <row r="948" spans="4:8" x14ac:dyDescent="0.25">
      <c r="D948"/>
      <c r="G948" s="19"/>
      <c r="H948"/>
    </row>
    <row r="949" spans="4:8" x14ac:dyDescent="0.25">
      <c r="D949"/>
      <c r="G949" s="19"/>
      <c r="H949"/>
    </row>
    <row r="950" spans="4:8" x14ac:dyDescent="0.25">
      <c r="D950"/>
      <c r="G950" s="19"/>
      <c r="H950"/>
    </row>
    <row r="951" spans="4:8" x14ac:dyDescent="0.25">
      <c r="D951"/>
      <c r="G951" s="19"/>
      <c r="H951"/>
    </row>
    <row r="952" spans="4:8" x14ac:dyDescent="0.25">
      <c r="D952"/>
      <c r="G952" s="19"/>
      <c r="H952"/>
    </row>
    <row r="953" spans="4:8" x14ac:dyDescent="0.25">
      <c r="D953"/>
      <c r="G953" s="19"/>
      <c r="H953"/>
    </row>
    <row r="954" spans="4:8" x14ac:dyDescent="0.25">
      <c r="D954"/>
      <c r="G954" s="19"/>
      <c r="H954"/>
    </row>
    <row r="955" spans="4:8" x14ac:dyDescent="0.25">
      <c r="D955"/>
      <c r="G955" s="19"/>
      <c r="H955"/>
    </row>
    <row r="956" spans="4:8" x14ac:dyDescent="0.25">
      <c r="D956"/>
      <c r="G956" s="19"/>
      <c r="H956"/>
    </row>
    <row r="957" spans="4:8" x14ac:dyDescent="0.25">
      <c r="D957"/>
      <c r="G957" s="19"/>
      <c r="H957"/>
    </row>
    <row r="958" spans="4:8" x14ac:dyDescent="0.25">
      <c r="D958"/>
      <c r="G958" s="19"/>
      <c r="H958"/>
    </row>
    <row r="959" spans="4:8" x14ac:dyDescent="0.25">
      <c r="D959"/>
      <c r="G959" s="19"/>
      <c r="H959"/>
    </row>
    <row r="960" spans="4:8" x14ac:dyDescent="0.25">
      <c r="D960"/>
      <c r="G960" s="19"/>
      <c r="H960"/>
    </row>
    <row r="961" spans="4:8" x14ac:dyDescent="0.25">
      <c r="D961"/>
      <c r="G961" s="19"/>
      <c r="H961"/>
    </row>
    <row r="962" spans="4:8" x14ac:dyDescent="0.25">
      <c r="D962"/>
      <c r="G962" s="19"/>
      <c r="H962"/>
    </row>
    <row r="963" spans="4:8" x14ac:dyDescent="0.25">
      <c r="D963"/>
      <c r="G963" s="19"/>
      <c r="H963"/>
    </row>
    <row r="964" spans="4:8" x14ac:dyDescent="0.25">
      <c r="D964"/>
      <c r="G964" s="19"/>
      <c r="H964"/>
    </row>
    <row r="965" spans="4:8" x14ac:dyDescent="0.25">
      <c r="D965"/>
      <c r="G965" s="19"/>
      <c r="H965"/>
    </row>
    <row r="966" spans="4:8" x14ac:dyDescent="0.25">
      <c r="D966"/>
      <c r="G966" s="19"/>
      <c r="H966"/>
    </row>
    <row r="967" spans="4:8" x14ac:dyDescent="0.25">
      <c r="D967"/>
      <c r="G967" s="19"/>
      <c r="H967"/>
    </row>
    <row r="968" spans="4:8" x14ac:dyDescent="0.25">
      <c r="D968"/>
      <c r="G968" s="19"/>
      <c r="H968"/>
    </row>
  </sheetData>
  <autoFilter ref="A1:AH308" xr:uid="{00000000-0001-0000-0000-000000000000}">
    <filterColumn colId="0">
      <filters>
        <dateGroupItem year="2023" dateTimeGrouping="year"/>
      </filters>
    </filterColumn>
  </autoFilter>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CBE50-3008-4434-B3A8-6DA04076D335}">
  <dimension ref="A1:P128"/>
  <sheetViews>
    <sheetView workbookViewId="0">
      <pane xSplit="4" ySplit="3" topLeftCell="H88" activePane="bottomRight" state="frozen"/>
      <selection pane="topRight" activeCell="D1" sqref="D1"/>
      <selection pane="bottomLeft" activeCell="A4" sqref="A4"/>
      <selection pane="bottomRight" activeCell="A88" sqref="A88:XFD88"/>
    </sheetView>
  </sheetViews>
  <sheetFormatPr defaultRowHeight="15" x14ac:dyDescent="0.25"/>
  <cols>
    <col min="1" max="1" width="9.140625" customWidth="1"/>
    <col min="2" max="2" width="39.85546875" customWidth="1"/>
    <col min="3" max="3" width="23.5703125" customWidth="1"/>
    <col min="4" max="4" width="20.5703125" style="19" customWidth="1"/>
    <col min="5" max="5" width="104" customWidth="1"/>
    <col min="6" max="6" width="20.7109375" customWidth="1"/>
    <col min="7" max="7" width="10.140625" style="2" customWidth="1"/>
    <col min="8" max="8" width="19.28515625" style="2" customWidth="1"/>
    <col min="9" max="9" width="24.28515625" style="2" customWidth="1"/>
    <col min="10" max="10" width="15.28515625" style="17" customWidth="1"/>
    <col min="11" max="11" width="31.28515625" customWidth="1"/>
    <col min="12" max="12" width="12.85546875" style="2" customWidth="1"/>
    <col min="13" max="13" width="19.85546875" style="2" customWidth="1"/>
    <col min="14" max="14" width="24" style="2" customWidth="1"/>
    <col min="15" max="15" width="25.7109375" style="5" customWidth="1"/>
    <col min="16" max="16" width="99.140625" customWidth="1"/>
  </cols>
  <sheetData>
    <row r="1" spans="2:16" ht="51" customHeight="1" x14ac:dyDescent="0.25">
      <c r="B1" s="20" t="s">
        <v>1</v>
      </c>
      <c r="C1" s="20" t="s">
        <v>61</v>
      </c>
      <c r="D1" s="21" t="s">
        <v>62</v>
      </c>
      <c r="E1" s="20" t="s">
        <v>106</v>
      </c>
      <c r="F1" s="20" t="s">
        <v>63</v>
      </c>
      <c r="G1" s="22" t="s">
        <v>64</v>
      </c>
      <c r="H1" s="22" t="s">
        <v>65</v>
      </c>
      <c r="I1" s="22" t="s">
        <v>66</v>
      </c>
      <c r="J1" s="23" t="s">
        <v>67</v>
      </c>
      <c r="K1" s="22" t="s">
        <v>68</v>
      </c>
      <c r="L1" s="22" t="s">
        <v>69</v>
      </c>
      <c r="M1" s="22" t="s">
        <v>70</v>
      </c>
      <c r="N1" s="22" t="s">
        <v>71</v>
      </c>
      <c r="O1" s="22" t="s">
        <v>80</v>
      </c>
      <c r="P1" s="22" t="s">
        <v>148</v>
      </c>
    </row>
    <row r="2" spans="2:16" ht="12.75" customHeight="1" x14ac:dyDescent="0.25">
      <c r="B2" s="5" t="s">
        <v>23</v>
      </c>
      <c r="C2">
        <v>8517620003</v>
      </c>
      <c r="D2" s="19">
        <v>60</v>
      </c>
      <c r="E2" t="s">
        <v>17</v>
      </c>
      <c r="F2" t="s">
        <v>20</v>
      </c>
      <c r="G2" s="2">
        <v>42972</v>
      </c>
      <c r="H2" s="2">
        <v>42972</v>
      </c>
      <c r="I2" s="2">
        <v>44369</v>
      </c>
      <c r="J2" s="17">
        <v>1.3</v>
      </c>
      <c r="K2" t="s">
        <v>76</v>
      </c>
      <c r="L2" t="s">
        <v>76</v>
      </c>
      <c r="M2" t="s">
        <v>76</v>
      </c>
      <c r="N2" t="s">
        <v>76</v>
      </c>
      <c r="O2" s="5" t="s">
        <v>81</v>
      </c>
    </row>
    <row r="3" spans="2:16" ht="58.5" customHeight="1" x14ac:dyDescent="0.25">
      <c r="B3" t="s">
        <v>25</v>
      </c>
      <c r="C3">
        <v>8517620003</v>
      </c>
      <c r="D3" s="19">
        <v>2160</v>
      </c>
      <c r="E3" s="5" t="s">
        <v>151</v>
      </c>
      <c r="F3" s="14" t="s">
        <v>162</v>
      </c>
      <c r="G3" s="2">
        <v>44383</v>
      </c>
      <c r="H3" s="2">
        <v>44383</v>
      </c>
      <c r="I3" s="2">
        <v>48213</v>
      </c>
      <c r="J3" s="17">
        <v>10</v>
      </c>
      <c r="K3" t="s">
        <v>42</v>
      </c>
      <c r="L3" s="2">
        <v>43908</v>
      </c>
      <c r="M3" s="2">
        <v>43908</v>
      </c>
      <c r="N3" s="2">
        <v>45733</v>
      </c>
      <c r="O3" s="5" t="s">
        <v>199</v>
      </c>
      <c r="P3" s="5" t="s">
        <v>166</v>
      </c>
    </row>
    <row r="4" spans="2:16" ht="48.75" customHeight="1" x14ac:dyDescent="0.25">
      <c r="B4" t="s">
        <v>26</v>
      </c>
      <c r="C4">
        <v>8517620003</v>
      </c>
      <c r="D4" s="19">
        <v>198.4</v>
      </c>
      <c r="E4" s="5" t="s">
        <v>151</v>
      </c>
      <c r="F4" s="14" t="s">
        <v>220</v>
      </c>
      <c r="G4" s="2">
        <v>44431</v>
      </c>
      <c r="H4" s="2">
        <v>44431</v>
      </c>
      <c r="I4" s="2">
        <v>48213</v>
      </c>
      <c r="J4" s="17">
        <v>0.3</v>
      </c>
      <c r="K4" t="s">
        <v>76</v>
      </c>
      <c r="L4" t="s">
        <v>76</v>
      </c>
      <c r="M4" t="s">
        <v>76</v>
      </c>
      <c r="N4" t="s">
        <v>76</v>
      </c>
      <c r="O4" s="5" t="s">
        <v>199</v>
      </c>
    </row>
    <row r="5" spans="2:16" ht="147" customHeight="1" x14ac:dyDescent="0.25">
      <c r="B5" t="s">
        <v>27</v>
      </c>
      <c r="C5">
        <v>8517620003</v>
      </c>
      <c r="D5" s="19">
        <v>198.4</v>
      </c>
      <c r="E5" s="5" t="s">
        <v>151</v>
      </c>
      <c r="F5" s="14" t="s">
        <v>220</v>
      </c>
      <c r="G5" s="2">
        <v>44431</v>
      </c>
      <c r="H5" s="2">
        <v>44431</v>
      </c>
      <c r="I5" s="2">
        <v>48213</v>
      </c>
      <c r="J5" s="17">
        <v>0.3</v>
      </c>
      <c r="K5" t="s">
        <v>76</v>
      </c>
      <c r="L5" t="s">
        <v>76</v>
      </c>
      <c r="M5" t="s">
        <v>76</v>
      </c>
      <c r="N5" t="s">
        <v>76</v>
      </c>
      <c r="O5" s="5" t="s">
        <v>199</v>
      </c>
      <c r="P5" s="5" t="s">
        <v>144</v>
      </c>
    </row>
    <row r="6" spans="2:16" ht="162.75" customHeight="1" x14ac:dyDescent="0.25">
      <c r="B6" t="s">
        <v>28</v>
      </c>
      <c r="C6">
        <v>8517620003</v>
      </c>
      <c r="D6" s="19">
        <v>198.4</v>
      </c>
      <c r="E6" s="5" t="s">
        <v>151</v>
      </c>
      <c r="F6" s="14" t="s">
        <v>220</v>
      </c>
      <c r="G6" s="2">
        <v>44431</v>
      </c>
      <c r="H6" s="2">
        <v>44431</v>
      </c>
      <c r="I6" s="2">
        <v>48213</v>
      </c>
      <c r="J6" s="17">
        <v>0.3</v>
      </c>
      <c r="K6" t="s">
        <v>76</v>
      </c>
      <c r="L6" t="s">
        <v>76</v>
      </c>
      <c r="M6" t="s">
        <v>76</v>
      </c>
      <c r="N6" t="s">
        <v>76</v>
      </c>
      <c r="O6" s="5" t="s">
        <v>199</v>
      </c>
      <c r="P6" s="5" t="s">
        <v>146</v>
      </c>
    </row>
    <row r="7" spans="2:16" ht="57.75" customHeight="1" x14ac:dyDescent="0.25">
      <c r="B7" t="s">
        <v>44</v>
      </c>
      <c r="C7">
        <v>8517620003</v>
      </c>
      <c r="D7" s="19">
        <v>939</v>
      </c>
      <c r="E7" s="5" t="s">
        <v>311</v>
      </c>
      <c r="F7" s="14" t="s">
        <v>264</v>
      </c>
      <c r="G7" s="2">
        <v>44431</v>
      </c>
      <c r="H7" s="2">
        <v>44431</v>
      </c>
      <c r="I7" s="2">
        <v>48213</v>
      </c>
      <c r="J7" s="17">
        <v>4</v>
      </c>
      <c r="K7" t="s">
        <v>47</v>
      </c>
      <c r="L7" s="2">
        <v>43787</v>
      </c>
      <c r="M7" s="2">
        <v>43787</v>
      </c>
      <c r="N7" s="2">
        <v>45613</v>
      </c>
      <c r="O7" s="5" t="s">
        <v>199</v>
      </c>
      <c r="P7" s="5" t="s">
        <v>266</v>
      </c>
    </row>
    <row r="8" spans="2:16" ht="72.75" customHeight="1" x14ac:dyDescent="0.25">
      <c r="B8" t="s">
        <v>50</v>
      </c>
      <c r="C8">
        <v>8517620003</v>
      </c>
      <c r="D8" s="19">
        <v>198</v>
      </c>
      <c r="E8" s="5" t="s">
        <v>151</v>
      </c>
      <c r="F8" s="14" t="s">
        <v>220</v>
      </c>
      <c r="G8" s="2">
        <v>44431</v>
      </c>
      <c r="H8" s="2">
        <v>44431</v>
      </c>
      <c r="I8" s="2">
        <v>48213</v>
      </c>
      <c r="J8" s="17">
        <v>0.3</v>
      </c>
      <c r="K8" t="s">
        <v>76</v>
      </c>
      <c r="L8" t="s">
        <v>76</v>
      </c>
      <c r="M8" t="s">
        <v>76</v>
      </c>
      <c r="N8" t="s">
        <v>76</v>
      </c>
      <c r="O8" s="5" t="s">
        <v>199</v>
      </c>
    </row>
    <row r="9" spans="2:16" ht="65.25" customHeight="1" x14ac:dyDescent="0.25">
      <c r="B9" t="s">
        <v>51</v>
      </c>
      <c r="C9">
        <v>8517620003</v>
      </c>
      <c r="D9" s="19">
        <v>264</v>
      </c>
      <c r="E9" s="5" t="s">
        <v>151</v>
      </c>
      <c r="F9" s="14" t="s">
        <v>220</v>
      </c>
      <c r="G9" s="2">
        <v>44431</v>
      </c>
      <c r="H9" s="2">
        <v>44431</v>
      </c>
      <c r="I9" s="2">
        <v>48213</v>
      </c>
      <c r="J9" s="17">
        <v>0.3</v>
      </c>
      <c r="K9" t="s">
        <v>76</v>
      </c>
      <c r="L9" t="s">
        <v>76</v>
      </c>
      <c r="M9" t="s">
        <v>76</v>
      </c>
      <c r="N9" t="s">
        <v>76</v>
      </c>
      <c r="O9" s="5" t="s">
        <v>199</v>
      </c>
    </row>
    <row r="10" spans="2:16" ht="285" x14ac:dyDescent="0.25">
      <c r="B10" t="s">
        <v>52</v>
      </c>
      <c r="C10">
        <v>8517620003</v>
      </c>
      <c r="D10" s="19">
        <v>229.5</v>
      </c>
      <c r="E10" s="5" t="s">
        <v>151</v>
      </c>
      <c r="F10" t="s">
        <v>57</v>
      </c>
      <c r="G10" s="2">
        <v>42972</v>
      </c>
      <c r="H10" s="2">
        <v>42972</v>
      </c>
      <c r="I10" s="2">
        <v>44369</v>
      </c>
      <c r="J10" s="17">
        <v>1.5</v>
      </c>
      <c r="K10" t="s">
        <v>47</v>
      </c>
      <c r="L10" s="2">
        <v>43787</v>
      </c>
      <c r="M10" s="2">
        <v>43787</v>
      </c>
      <c r="N10" s="2">
        <v>45613</v>
      </c>
      <c r="O10" s="5" t="s">
        <v>199</v>
      </c>
    </row>
    <row r="11" spans="2:16" ht="48.75" customHeight="1" x14ac:dyDescent="0.25">
      <c r="B11" t="s">
        <v>72</v>
      </c>
      <c r="C11">
        <v>8517620003</v>
      </c>
      <c r="D11" s="19">
        <v>638</v>
      </c>
      <c r="E11" s="5" t="s">
        <v>151</v>
      </c>
      <c r="F11" t="s">
        <v>20</v>
      </c>
      <c r="G11" s="2">
        <v>42972</v>
      </c>
      <c r="H11" s="2">
        <v>42972</v>
      </c>
      <c r="I11" s="2">
        <v>44369</v>
      </c>
      <c r="J11" s="17">
        <v>1.25</v>
      </c>
      <c r="K11" t="s">
        <v>77</v>
      </c>
      <c r="L11" t="s">
        <v>77</v>
      </c>
      <c r="M11" t="s">
        <v>77</v>
      </c>
      <c r="N11" t="s">
        <v>77</v>
      </c>
      <c r="O11" s="5" t="s">
        <v>199</v>
      </c>
    </row>
    <row r="12" spans="2:16" ht="28.5" customHeight="1" x14ac:dyDescent="0.25">
      <c r="B12" t="s">
        <v>73</v>
      </c>
      <c r="C12">
        <v>8517620003</v>
      </c>
      <c r="D12" s="19">
        <v>291</v>
      </c>
      <c r="E12" s="5" t="s">
        <v>151</v>
      </c>
      <c r="F12" t="s">
        <v>20</v>
      </c>
      <c r="G12" s="2">
        <v>42972</v>
      </c>
      <c r="H12" s="2">
        <v>42972</v>
      </c>
      <c r="I12" s="2">
        <v>44369</v>
      </c>
      <c r="J12" s="17">
        <v>0.69</v>
      </c>
      <c r="K12" t="s">
        <v>77</v>
      </c>
      <c r="L12" t="s">
        <v>77</v>
      </c>
      <c r="M12" t="s">
        <v>77</v>
      </c>
      <c r="N12" t="s">
        <v>77</v>
      </c>
      <c r="O12" s="5" t="s">
        <v>199</v>
      </c>
    </row>
    <row r="13" spans="2:16" ht="165" customHeight="1" x14ac:dyDescent="0.25">
      <c r="B13" t="s">
        <v>74</v>
      </c>
      <c r="C13">
        <v>8517620003</v>
      </c>
      <c r="D13" s="19">
        <v>198</v>
      </c>
      <c r="E13" s="5" t="s">
        <v>151</v>
      </c>
      <c r="F13" t="s">
        <v>220</v>
      </c>
      <c r="G13" s="2">
        <v>44431</v>
      </c>
      <c r="H13" s="2">
        <v>44431</v>
      </c>
      <c r="I13" s="2">
        <v>48213</v>
      </c>
      <c r="J13" s="17">
        <v>0.3</v>
      </c>
      <c r="K13" t="s">
        <v>77</v>
      </c>
      <c r="L13" t="s">
        <v>77</v>
      </c>
      <c r="M13" t="s">
        <v>77</v>
      </c>
      <c r="N13" t="s">
        <v>77</v>
      </c>
      <c r="O13" s="5" t="s">
        <v>199</v>
      </c>
    </row>
    <row r="14" spans="2:16" ht="57.75" customHeight="1" x14ac:dyDescent="0.25">
      <c r="B14" t="s">
        <v>75</v>
      </c>
      <c r="C14">
        <v>8517620003</v>
      </c>
      <c r="D14" s="19">
        <v>331</v>
      </c>
      <c r="E14" s="5" t="s">
        <v>151</v>
      </c>
      <c r="F14" t="s">
        <v>20</v>
      </c>
      <c r="G14" s="2">
        <v>42972</v>
      </c>
      <c r="H14" s="2">
        <v>42972</v>
      </c>
      <c r="I14" s="2">
        <v>44369</v>
      </c>
      <c r="J14" s="17">
        <v>0.76</v>
      </c>
      <c r="K14" t="s">
        <v>77</v>
      </c>
      <c r="L14" t="s">
        <v>77</v>
      </c>
      <c r="M14" t="s">
        <v>77</v>
      </c>
      <c r="N14" t="s">
        <v>77</v>
      </c>
      <c r="O14" s="5" t="s">
        <v>199</v>
      </c>
    </row>
    <row r="15" spans="2:16" ht="66.75" customHeight="1" x14ac:dyDescent="0.25">
      <c r="B15" t="s">
        <v>85</v>
      </c>
      <c r="C15">
        <v>8517620003</v>
      </c>
      <c r="E15" s="5" t="s">
        <v>151</v>
      </c>
      <c r="F15" t="s">
        <v>20</v>
      </c>
      <c r="G15" s="2">
        <v>42972</v>
      </c>
      <c r="H15" s="2">
        <v>42972</v>
      </c>
      <c r="I15" s="2">
        <v>44369</v>
      </c>
      <c r="J15" s="17">
        <v>0.76</v>
      </c>
      <c r="K15" t="s">
        <v>77</v>
      </c>
      <c r="L15" t="s">
        <v>77</v>
      </c>
      <c r="M15" t="s">
        <v>77</v>
      </c>
      <c r="N15" t="s">
        <v>77</v>
      </c>
      <c r="O15" s="5" t="s">
        <v>199</v>
      </c>
    </row>
    <row r="16" spans="2:16" ht="57" customHeight="1" x14ac:dyDescent="0.25">
      <c r="B16" t="s">
        <v>87</v>
      </c>
      <c r="C16">
        <v>8517620003</v>
      </c>
      <c r="E16" s="5" t="s">
        <v>151</v>
      </c>
      <c r="F16" t="s">
        <v>57</v>
      </c>
      <c r="G16" s="2">
        <v>42972</v>
      </c>
      <c r="H16" s="2">
        <v>42972</v>
      </c>
      <c r="I16" s="2">
        <v>44369</v>
      </c>
      <c r="J16" s="17">
        <v>0.76</v>
      </c>
      <c r="K16" t="s">
        <v>77</v>
      </c>
      <c r="L16" t="s">
        <v>77</v>
      </c>
      <c r="M16" t="s">
        <v>77</v>
      </c>
      <c r="N16" t="s">
        <v>77</v>
      </c>
      <c r="O16" s="5" t="s">
        <v>199</v>
      </c>
    </row>
    <row r="17" spans="2:16" ht="72.75" customHeight="1" x14ac:dyDescent="0.25">
      <c r="B17" t="s">
        <v>88</v>
      </c>
      <c r="C17">
        <v>8517620003</v>
      </c>
      <c r="D17" s="19">
        <v>250.33</v>
      </c>
      <c r="E17" s="5" t="s">
        <v>151</v>
      </c>
      <c r="F17" t="s">
        <v>57</v>
      </c>
      <c r="G17" s="2">
        <v>42972</v>
      </c>
      <c r="H17" s="2">
        <v>42972</v>
      </c>
      <c r="I17" s="2">
        <v>44369</v>
      </c>
      <c r="K17" t="s">
        <v>96</v>
      </c>
      <c r="O17" s="5" t="s">
        <v>199</v>
      </c>
    </row>
    <row r="18" spans="2:16" ht="49.5" customHeight="1" x14ac:dyDescent="0.25">
      <c r="B18" t="s">
        <v>89</v>
      </c>
      <c r="C18">
        <v>8517620003</v>
      </c>
      <c r="D18" s="19">
        <v>195.08</v>
      </c>
      <c r="E18" s="5" t="s">
        <v>151</v>
      </c>
      <c r="F18" t="s">
        <v>94</v>
      </c>
      <c r="G18" s="2">
        <v>44099</v>
      </c>
      <c r="H18" s="2">
        <v>44099</v>
      </c>
      <c r="I18" s="2">
        <v>47848</v>
      </c>
      <c r="J18" s="17">
        <v>1.1000000000000001</v>
      </c>
      <c r="K18" t="s">
        <v>156</v>
      </c>
      <c r="L18" s="2">
        <v>44330</v>
      </c>
      <c r="M18" s="2">
        <v>44330</v>
      </c>
      <c r="N18" s="2">
        <v>46154</v>
      </c>
      <c r="O18" s="5" t="s">
        <v>199</v>
      </c>
      <c r="P18" s="5" t="s">
        <v>159</v>
      </c>
    </row>
    <row r="19" spans="2:16" ht="409.5" x14ac:dyDescent="0.25">
      <c r="B19" t="s">
        <v>90</v>
      </c>
      <c r="C19">
        <v>8517620003</v>
      </c>
      <c r="D19" s="19">
        <v>250.33</v>
      </c>
      <c r="E19" s="5" t="s">
        <v>151</v>
      </c>
      <c r="F19" t="s">
        <v>94</v>
      </c>
      <c r="G19" s="2">
        <v>44099</v>
      </c>
      <c r="H19" s="2">
        <v>44099</v>
      </c>
      <c r="I19" s="2">
        <v>47848</v>
      </c>
      <c r="J19" s="17">
        <v>1.5</v>
      </c>
      <c r="K19" s="27" t="s">
        <v>156</v>
      </c>
      <c r="L19" s="2">
        <v>44330</v>
      </c>
      <c r="M19" s="2">
        <v>44330</v>
      </c>
      <c r="N19" s="2">
        <v>46154</v>
      </c>
      <c r="O19" s="5" t="s">
        <v>199</v>
      </c>
      <c r="P19" s="5" t="s">
        <v>188</v>
      </c>
    </row>
    <row r="20" spans="2:16" ht="161.25" customHeight="1" x14ac:dyDescent="0.25">
      <c r="B20" t="s">
        <v>91</v>
      </c>
      <c r="C20">
        <v>8517620003</v>
      </c>
      <c r="D20" s="19">
        <v>424.58</v>
      </c>
      <c r="E20" s="5" t="s">
        <v>151</v>
      </c>
      <c r="F20" t="s">
        <v>94</v>
      </c>
      <c r="G20" s="2">
        <v>44099</v>
      </c>
      <c r="H20" s="2">
        <v>44099</v>
      </c>
      <c r="I20" s="2">
        <v>47848</v>
      </c>
      <c r="J20" s="17">
        <v>1.9</v>
      </c>
      <c r="K20" t="s">
        <v>156</v>
      </c>
      <c r="L20" s="2">
        <v>44330</v>
      </c>
      <c r="M20" s="2">
        <v>44330</v>
      </c>
      <c r="N20" s="2">
        <v>46154</v>
      </c>
      <c r="O20" s="5" t="s">
        <v>199</v>
      </c>
      <c r="P20" s="5" t="s">
        <v>160</v>
      </c>
    </row>
    <row r="21" spans="2:16" ht="35.25" customHeight="1" x14ac:dyDescent="0.25">
      <c r="B21" t="s">
        <v>92</v>
      </c>
      <c r="C21">
        <v>8517620003</v>
      </c>
      <c r="D21" s="19">
        <v>386.75</v>
      </c>
      <c r="E21" s="5" t="s">
        <v>151</v>
      </c>
      <c r="F21" t="s">
        <v>57</v>
      </c>
      <c r="G21" s="2">
        <v>42972</v>
      </c>
      <c r="H21" s="2">
        <v>42972</v>
      </c>
      <c r="I21" s="2">
        <v>44369</v>
      </c>
      <c r="J21" s="17">
        <v>1</v>
      </c>
      <c r="K21" t="s">
        <v>47</v>
      </c>
      <c r="L21" s="2">
        <v>43787</v>
      </c>
      <c r="M21" s="2">
        <v>43787</v>
      </c>
      <c r="N21" s="2">
        <v>45613</v>
      </c>
      <c r="O21" s="5" t="s">
        <v>199</v>
      </c>
    </row>
    <row r="22" spans="2:16" ht="94.5" customHeight="1" x14ac:dyDescent="0.25">
      <c r="B22" t="s">
        <v>93</v>
      </c>
      <c r="C22">
        <v>8517620003</v>
      </c>
      <c r="D22" s="19">
        <v>195.07</v>
      </c>
      <c r="E22" s="5" t="s">
        <v>151</v>
      </c>
      <c r="F22" t="s">
        <v>94</v>
      </c>
      <c r="G22" s="2">
        <v>44099</v>
      </c>
      <c r="H22" s="2">
        <v>44099</v>
      </c>
      <c r="I22" s="2">
        <v>47848</v>
      </c>
      <c r="J22" s="17">
        <v>1.1000000000000001</v>
      </c>
      <c r="K22" t="s">
        <v>95</v>
      </c>
      <c r="L22" s="2">
        <v>43984</v>
      </c>
      <c r="M22" s="2">
        <v>43984</v>
      </c>
      <c r="N22" s="2">
        <v>45809</v>
      </c>
      <c r="O22" s="5" t="s">
        <v>199</v>
      </c>
    </row>
    <row r="23" spans="2:16" ht="41.25" customHeight="1" x14ac:dyDescent="0.25">
      <c r="B23" t="s">
        <v>97</v>
      </c>
      <c r="C23">
        <v>8517620003</v>
      </c>
      <c r="D23" s="19">
        <v>1236.75</v>
      </c>
      <c r="E23" s="5" t="s">
        <v>151</v>
      </c>
      <c r="F23" t="s">
        <v>46</v>
      </c>
      <c r="G23" s="2">
        <v>42972</v>
      </c>
      <c r="H23" s="2">
        <v>42972</v>
      </c>
      <c r="I23" s="2">
        <v>44369</v>
      </c>
      <c r="J23" s="17">
        <v>4</v>
      </c>
      <c r="K23" t="s">
        <v>47</v>
      </c>
      <c r="L23" s="2">
        <v>43787</v>
      </c>
      <c r="M23" s="2">
        <v>43787</v>
      </c>
      <c r="N23" s="2">
        <v>45613</v>
      </c>
      <c r="O23" s="5" t="s">
        <v>199</v>
      </c>
    </row>
    <row r="24" spans="2:16" ht="60" customHeight="1" x14ac:dyDescent="0.25">
      <c r="B24" t="s">
        <v>98</v>
      </c>
      <c r="C24">
        <v>8517620003</v>
      </c>
      <c r="D24" s="19">
        <v>50.15</v>
      </c>
      <c r="E24" s="5" t="s">
        <v>151</v>
      </c>
      <c r="F24" s="14" t="s">
        <v>220</v>
      </c>
      <c r="G24" s="2">
        <v>44431</v>
      </c>
      <c r="H24" s="2">
        <v>44431</v>
      </c>
      <c r="I24" s="2">
        <v>48213</v>
      </c>
      <c r="J24" s="17">
        <v>0.3</v>
      </c>
      <c r="K24" t="s">
        <v>77</v>
      </c>
      <c r="O24" s="5" t="s">
        <v>199</v>
      </c>
      <c r="P24" s="5" t="s">
        <v>221</v>
      </c>
    </row>
    <row r="25" spans="2:16" ht="42.75" customHeight="1" x14ac:dyDescent="0.25">
      <c r="B25" t="s">
        <v>110</v>
      </c>
      <c r="C25">
        <v>8517620003</v>
      </c>
      <c r="D25" s="19">
        <v>569.07000000000005</v>
      </c>
      <c r="E25" s="5" t="s">
        <v>151</v>
      </c>
      <c r="F25" t="s">
        <v>112</v>
      </c>
      <c r="G25" s="2">
        <v>44099</v>
      </c>
      <c r="H25" s="2">
        <v>44099</v>
      </c>
      <c r="I25" s="2">
        <v>47848</v>
      </c>
      <c r="J25" s="17">
        <v>1.5</v>
      </c>
      <c r="K25" t="s">
        <v>76</v>
      </c>
      <c r="O25" s="5" t="s">
        <v>199</v>
      </c>
    </row>
    <row r="26" spans="2:16" ht="36" customHeight="1" x14ac:dyDescent="0.25">
      <c r="B26" t="s">
        <v>107</v>
      </c>
      <c r="C26">
        <v>8517620003</v>
      </c>
      <c r="D26" s="19">
        <v>331</v>
      </c>
      <c r="E26" s="5" t="s">
        <v>151</v>
      </c>
      <c r="F26" t="s">
        <v>57</v>
      </c>
      <c r="G26" s="2">
        <v>42972</v>
      </c>
      <c r="H26" s="2">
        <v>42972</v>
      </c>
      <c r="I26" s="2">
        <v>44369</v>
      </c>
      <c r="J26" s="17">
        <v>0.76</v>
      </c>
      <c r="K26" s="2" t="s">
        <v>111</v>
      </c>
      <c r="L26" s="2">
        <v>44166</v>
      </c>
      <c r="M26" s="2">
        <v>44167</v>
      </c>
      <c r="N26" s="2">
        <v>45992</v>
      </c>
      <c r="O26" s="5" t="s">
        <v>199</v>
      </c>
    </row>
    <row r="27" spans="2:16" ht="46.5" customHeight="1" x14ac:dyDescent="0.25">
      <c r="B27" t="s">
        <v>108</v>
      </c>
      <c r="C27">
        <v>8517620003</v>
      </c>
      <c r="D27" s="19">
        <v>424.5</v>
      </c>
      <c r="E27" s="5" t="s">
        <v>151</v>
      </c>
      <c r="F27" t="s">
        <v>94</v>
      </c>
      <c r="G27" s="2">
        <v>44099</v>
      </c>
      <c r="H27" s="2">
        <v>44099</v>
      </c>
      <c r="I27" s="2">
        <v>47848</v>
      </c>
      <c r="J27" s="17">
        <v>1.1000000000000001</v>
      </c>
      <c r="K27" t="s">
        <v>156</v>
      </c>
      <c r="L27" s="2">
        <v>44330</v>
      </c>
      <c r="M27" s="2">
        <v>44330</v>
      </c>
      <c r="N27" s="2">
        <v>46154</v>
      </c>
      <c r="O27" s="5" t="s">
        <v>199</v>
      </c>
      <c r="P27" s="5" t="s">
        <v>287</v>
      </c>
    </row>
    <row r="28" spans="2:16" ht="54" customHeight="1" x14ac:dyDescent="0.25">
      <c r="B28" t="s">
        <v>109</v>
      </c>
      <c r="C28">
        <v>8517620003</v>
      </c>
      <c r="D28" s="19">
        <v>90</v>
      </c>
      <c r="E28" s="5" t="s">
        <v>151</v>
      </c>
      <c r="F28" t="s">
        <v>113</v>
      </c>
      <c r="G28" s="2">
        <v>42958</v>
      </c>
      <c r="H28" s="2">
        <v>42958</v>
      </c>
      <c r="I28" s="2">
        <v>44369</v>
      </c>
      <c r="J28" s="17">
        <v>0.3</v>
      </c>
      <c r="K28" t="s">
        <v>76</v>
      </c>
      <c r="O28" s="5" t="s">
        <v>199</v>
      </c>
    </row>
    <row r="29" spans="2:16" ht="299.25" customHeight="1" x14ac:dyDescent="0.25">
      <c r="B29" t="s">
        <v>114</v>
      </c>
      <c r="C29">
        <v>8517620002</v>
      </c>
      <c r="D29" s="19">
        <v>2789.2</v>
      </c>
      <c r="E29" s="5" t="s">
        <v>307</v>
      </c>
      <c r="F29" s="14" t="s">
        <v>162</v>
      </c>
      <c r="G29" s="2">
        <v>44383</v>
      </c>
      <c r="H29" s="2">
        <v>44383</v>
      </c>
      <c r="I29" s="2">
        <v>48213</v>
      </c>
      <c r="J29" s="17">
        <v>10</v>
      </c>
      <c r="K29" t="s">
        <v>42</v>
      </c>
      <c r="L29" s="2">
        <v>43908</v>
      </c>
      <c r="M29" s="2">
        <v>43908</v>
      </c>
      <c r="N29" s="2">
        <v>45733</v>
      </c>
      <c r="O29" s="5" t="s">
        <v>199</v>
      </c>
      <c r="P29" s="5" t="s">
        <v>304</v>
      </c>
    </row>
    <row r="30" spans="2:16" ht="33" customHeight="1" x14ac:dyDescent="0.25">
      <c r="B30" t="s">
        <v>115</v>
      </c>
      <c r="C30">
        <v>8517620003</v>
      </c>
      <c r="D30" s="19">
        <v>264</v>
      </c>
      <c r="E30" s="5" t="s">
        <v>151</v>
      </c>
      <c r="F30" s="14" t="s">
        <v>220</v>
      </c>
      <c r="G30" s="2">
        <v>44431</v>
      </c>
      <c r="H30" s="2">
        <v>44431</v>
      </c>
      <c r="I30" s="2">
        <v>48213</v>
      </c>
      <c r="J30" s="17">
        <v>0.3</v>
      </c>
      <c r="K30" t="s">
        <v>77</v>
      </c>
      <c r="O30" s="5" t="s">
        <v>199</v>
      </c>
    </row>
    <row r="31" spans="2:16" ht="51" customHeight="1" x14ac:dyDescent="0.25">
      <c r="B31" t="s">
        <v>116</v>
      </c>
      <c r="C31">
        <v>8517620003</v>
      </c>
      <c r="D31" s="19">
        <v>1568</v>
      </c>
      <c r="E31" s="5" t="s">
        <v>151</v>
      </c>
      <c r="F31" s="14" t="s">
        <v>162</v>
      </c>
      <c r="G31" s="2">
        <v>44383</v>
      </c>
      <c r="H31" s="2">
        <v>44383</v>
      </c>
      <c r="I31" s="2">
        <v>48213</v>
      </c>
      <c r="J31" s="17">
        <v>10</v>
      </c>
      <c r="K31" t="s">
        <v>77</v>
      </c>
      <c r="O31" s="5" t="s">
        <v>199</v>
      </c>
    </row>
    <row r="32" spans="2:16" ht="53.25" customHeight="1" x14ac:dyDescent="0.25">
      <c r="B32" t="s">
        <v>117</v>
      </c>
      <c r="C32">
        <v>8517620003</v>
      </c>
      <c r="D32" s="19">
        <v>264</v>
      </c>
      <c r="E32" s="5" t="s">
        <v>151</v>
      </c>
      <c r="F32" s="14" t="s">
        <v>220</v>
      </c>
      <c r="G32" s="2">
        <v>44431</v>
      </c>
      <c r="H32" s="2">
        <v>44431</v>
      </c>
      <c r="I32" s="2">
        <v>48213</v>
      </c>
      <c r="J32" s="17">
        <v>0.3</v>
      </c>
      <c r="K32" t="s">
        <v>77</v>
      </c>
      <c r="O32" s="5" t="s">
        <v>199</v>
      </c>
      <c r="P32" s="5" t="s">
        <v>221</v>
      </c>
    </row>
    <row r="33" spans="2:16" ht="82.5" customHeight="1" x14ac:dyDescent="0.25">
      <c r="B33" t="s">
        <v>118</v>
      </c>
      <c r="C33">
        <v>8517620003</v>
      </c>
      <c r="D33" s="19">
        <v>1568</v>
      </c>
      <c r="E33" s="5" t="s">
        <v>151</v>
      </c>
      <c r="F33" t="s">
        <v>162</v>
      </c>
      <c r="G33" s="2">
        <v>44383</v>
      </c>
      <c r="H33" s="2">
        <v>44383</v>
      </c>
      <c r="I33" s="2">
        <v>48213</v>
      </c>
      <c r="J33" s="17">
        <v>10</v>
      </c>
      <c r="K33" t="s">
        <v>42</v>
      </c>
      <c r="L33" s="2">
        <v>43908</v>
      </c>
      <c r="M33" s="2">
        <v>43908</v>
      </c>
      <c r="N33" s="2">
        <v>45733</v>
      </c>
      <c r="O33" s="5" t="s">
        <v>199</v>
      </c>
    </row>
    <row r="34" spans="2:16" ht="28.5" customHeight="1" x14ac:dyDescent="0.25">
      <c r="B34" t="s">
        <v>117</v>
      </c>
      <c r="C34">
        <v>8517620003</v>
      </c>
      <c r="D34" s="19">
        <v>264</v>
      </c>
      <c r="E34" s="5" t="s">
        <v>151</v>
      </c>
      <c r="F34" s="14" t="s">
        <v>220</v>
      </c>
      <c r="G34" s="2">
        <v>44431</v>
      </c>
      <c r="H34" s="2">
        <v>44431</v>
      </c>
      <c r="I34" s="2">
        <v>48213</v>
      </c>
      <c r="J34" s="17">
        <v>0.3</v>
      </c>
      <c r="K34" t="s">
        <v>77</v>
      </c>
      <c r="O34" s="5" t="s">
        <v>199</v>
      </c>
      <c r="P34" s="5" t="s">
        <v>221</v>
      </c>
    </row>
    <row r="35" spans="2:16" ht="116.25" customHeight="1" x14ac:dyDescent="0.25">
      <c r="B35" t="s">
        <v>122</v>
      </c>
      <c r="C35">
        <v>8517620003</v>
      </c>
      <c r="D35" s="19">
        <v>499.5</v>
      </c>
      <c r="E35" s="5" t="s">
        <v>151</v>
      </c>
      <c r="F35" t="s">
        <v>94</v>
      </c>
      <c r="G35" s="2">
        <v>44099</v>
      </c>
      <c r="H35" s="2">
        <v>44099</v>
      </c>
      <c r="I35" s="2">
        <v>47848</v>
      </c>
      <c r="J35" s="17">
        <v>1.1000000000000001</v>
      </c>
      <c r="K35" t="s">
        <v>95</v>
      </c>
      <c r="L35" s="2">
        <v>43984</v>
      </c>
      <c r="M35" s="2">
        <v>43984</v>
      </c>
      <c r="N35" s="2">
        <v>45809</v>
      </c>
      <c r="O35" s="5" t="s">
        <v>199</v>
      </c>
    </row>
    <row r="36" spans="2:16" ht="142.5" customHeight="1" x14ac:dyDescent="0.25">
      <c r="B36" t="s">
        <v>123</v>
      </c>
      <c r="C36">
        <v>8517620003</v>
      </c>
      <c r="D36" s="19">
        <v>876</v>
      </c>
      <c r="E36" s="5" t="s">
        <v>151</v>
      </c>
      <c r="F36" t="s">
        <v>46</v>
      </c>
      <c r="G36" s="2">
        <v>42972</v>
      </c>
      <c r="H36" s="2">
        <v>42972</v>
      </c>
      <c r="I36" s="2">
        <v>44369</v>
      </c>
      <c r="J36" s="17">
        <v>4</v>
      </c>
      <c r="K36" t="s">
        <v>47</v>
      </c>
      <c r="L36" s="2">
        <v>43787</v>
      </c>
      <c r="M36" s="2">
        <v>43787</v>
      </c>
      <c r="N36" s="2">
        <v>45613</v>
      </c>
      <c r="O36" s="5" t="s">
        <v>199</v>
      </c>
    </row>
    <row r="37" spans="2:16" ht="123.75" customHeight="1" x14ac:dyDescent="0.25">
      <c r="B37" t="s">
        <v>126</v>
      </c>
      <c r="C37">
        <v>8517620003</v>
      </c>
      <c r="D37" s="19">
        <v>90</v>
      </c>
      <c r="E37" s="5" t="s">
        <v>151</v>
      </c>
      <c r="F37" t="s">
        <v>113</v>
      </c>
      <c r="G37" s="2">
        <v>42958</v>
      </c>
      <c r="H37" s="2">
        <v>42958</v>
      </c>
      <c r="I37" s="2">
        <v>44369</v>
      </c>
      <c r="J37" s="17">
        <v>0.3</v>
      </c>
      <c r="K37" t="s">
        <v>47</v>
      </c>
      <c r="L37" s="2">
        <v>43787</v>
      </c>
      <c r="M37" s="2">
        <v>43787</v>
      </c>
      <c r="N37" s="2">
        <v>45613</v>
      </c>
      <c r="O37" s="5" t="s">
        <v>199</v>
      </c>
    </row>
    <row r="38" spans="2:16" ht="129" customHeight="1" x14ac:dyDescent="0.25">
      <c r="B38" s="5" t="s">
        <v>127</v>
      </c>
      <c r="C38">
        <v>8517620003</v>
      </c>
      <c r="D38" s="19">
        <v>771</v>
      </c>
      <c r="E38" s="5" t="s">
        <v>151</v>
      </c>
      <c r="F38" t="s">
        <v>46</v>
      </c>
      <c r="G38" s="2">
        <v>42972</v>
      </c>
      <c r="H38" s="2">
        <v>42972</v>
      </c>
      <c r="I38" s="2">
        <v>44369</v>
      </c>
      <c r="J38" s="17">
        <v>4</v>
      </c>
      <c r="K38" t="s">
        <v>128</v>
      </c>
      <c r="L38" s="2">
        <v>44278</v>
      </c>
      <c r="M38" s="2">
        <v>44278</v>
      </c>
      <c r="N38" s="2">
        <v>46102</v>
      </c>
      <c r="O38" s="5" t="s">
        <v>199</v>
      </c>
    </row>
    <row r="39" spans="2:16" ht="74.25" customHeight="1" x14ac:dyDescent="0.25">
      <c r="B39" t="s">
        <v>130</v>
      </c>
      <c r="C39">
        <v>8517620003</v>
      </c>
      <c r="D39" s="19">
        <v>198</v>
      </c>
      <c r="E39" s="5" t="s">
        <v>151</v>
      </c>
      <c r="F39" s="14" t="s">
        <v>220</v>
      </c>
      <c r="G39" s="2">
        <v>44431</v>
      </c>
      <c r="H39" s="2">
        <v>44431</v>
      </c>
      <c r="I39" s="2">
        <v>48213</v>
      </c>
      <c r="J39" s="17">
        <v>0.3</v>
      </c>
      <c r="K39" t="s">
        <v>77</v>
      </c>
      <c r="O39" s="5" t="s">
        <v>199</v>
      </c>
      <c r="P39" s="5" t="s">
        <v>145</v>
      </c>
    </row>
    <row r="40" spans="2:16" ht="79.5" customHeight="1" x14ac:dyDescent="0.25">
      <c r="B40" t="s">
        <v>131</v>
      </c>
      <c r="C40">
        <v>8517620003</v>
      </c>
      <c r="D40" s="19">
        <v>555.5</v>
      </c>
      <c r="E40" s="5" t="s">
        <v>151</v>
      </c>
      <c r="F40" t="s">
        <v>20</v>
      </c>
      <c r="G40" s="2">
        <v>42972</v>
      </c>
      <c r="H40" s="2">
        <v>42972</v>
      </c>
      <c r="I40" s="2">
        <v>44369</v>
      </c>
      <c r="J40" s="17">
        <v>1.25</v>
      </c>
      <c r="K40" t="s">
        <v>77</v>
      </c>
      <c r="O40" s="5" t="s">
        <v>199</v>
      </c>
    </row>
    <row r="41" spans="2:16" ht="45" customHeight="1" x14ac:dyDescent="0.25">
      <c r="B41" t="s">
        <v>133</v>
      </c>
      <c r="C41">
        <v>8517620003</v>
      </c>
      <c r="D41" s="19">
        <v>540</v>
      </c>
      <c r="E41" s="5" t="s">
        <v>151</v>
      </c>
      <c r="F41" t="s">
        <v>57</v>
      </c>
      <c r="G41" s="2">
        <v>42972</v>
      </c>
      <c r="H41" s="2">
        <v>42972</v>
      </c>
      <c r="I41" s="2">
        <v>44369</v>
      </c>
      <c r="J41" s="17">
        <v>1</v>
      </c>
      <c r="O41" s="5" t="s">
        <v>199</v>
      </c>
    </row>
    <row r="42" spans="2:16" ht="178.5" customHeight="1" x14ac:dyDescent="0.25">
      <c r="B42" t="s">
        <v>135</v>
      </c>
      <c r="C42">
        <v>8517620003</v>
      </c>
      <c r="D42" s="19">
        <v>349.5</v>
      </c>
      <c r="E42" s="5" t="s">
        <v>151</v>
      </c>
      <c r="F42" s="14" t="s">
        <v>94</v>
      </c>
      <c r="G42" s="2">
        <v>44099</v>
      </c>
      <c r="H42" s="2">
        <v>44099</v>
      </c>
      <c r="I42" s="2">
        <v>47848</v>
      </c>
      <c r="J42" s="17">
        <v>1.5</v>
      </c>
      <c r="K42" t="s">
        <v>156</v>
      </c>
      <c r="L42" s="2">
        <v>44330</v>
      </c>
      <c r="M42" s="2">
        <v>44330</v>
      </c>
      <c r="N42" s="2">
        <v>46154</v>
      </c>
      <c r="O42" s="5" t="s">
        <v>199</v>
      </c>
      <c r="P42" s="5" t="s">
        <v>278</v>
      </c>
    </row>
    <row r="43" spans="2:16" ht="24.95" customHeight="1" x14ac:dyDescent="0.25">
      <c r="B43" t="s">
        <v>134</v>
      </c>
      <c r="C43">
        <v>8517620003</v>
      </c>
      <c r="D43" s="19">
        <v>574.5</v>
      </c>
      <c r="E43" s="5" t="s">
        <v>151</v>
      </c>
      <c r="F43" s="14" t="s">
        <v>94</v>
      </c>
      <c r="G43" s="2">
        <v>44099</v>
      </c>
      <c r="H43" s="2">
        <v>44099</v>
      </c>
      <c r="I43" s="2">
        <v>47848</v>
      </c>
      <c r="J43" s="17">
        <v>1.5</v>
      </c>
      <c r="K43" s="17" t="s">
        <v>140</v>
      </c>
      <c r="L43" s="2">
        <v>44309</v>
      </c>
      <c r="M43" s="2">
        <v>44309</v>
      </c>
      <c r="N43" s="2">
        <v>46134</v>
      </c>
      <c r="O43" s="5" t="s">
        <v>199</v>
      </c>
      <c r="P43" s="5" t="s">
        <v>158</v>
      </c>
    </row>
    <row r="44" spans="2:16" ht="187.5" customHeight="1" x14ac:dyDescent="0.25">
      <c r="B44" t="s">
        <v>137</v>
      </c>
      <c r="C44">
        <v>8517620003</v>
      </c>
      <c r="D44" s="19">
        <v>490</v>
      </c>
      <c r="E44" s="5" t="s">
        <v>151</v>
      </c>
      <c r="F44" s="14" t="s">
        <v>139</v>
      </c>
      <c r="G44" s="2">
        <v>44284</v>
      </c>
      <c r="H44" s="2">
        <v>44284</v>
      </c>
      <c r="I44" s="2">
        <v>47848</v>
      </c>
      <c r="J44" s="17">
        <v>1.25</v>
      </c>
      <c r="K44" s="17" t="s">
        <v>140</v>
      </c>
      <c r="L44" s="2">
        <v>44309</v>
      </c>
      <c r="M44" s="2">
        <v>44309</v>
      </c>
      <c r="N44" s="2">
        <v>46134</v>
      </c>
      <c r="O44" s="5" t="s">
        <v>199</v>
      </c>
      <c r="P44" s="5" t="s">
        <v>152</v>
      </c>
    </row>
    <row r="45" spans="2:16" ht="39.950000000000003" customHeight="1" x14ac:dyDescent="0.25">
      <c r="B45" t="s">
        <v>138</v>
      </c>
      <c r="C45">
        <v>8517620003</v>
      </c>
      <c r="D45" s="19">
        <v>649.5</v>
      </c>
      <c r="E45" s="5" t="s">
        <v>151</v>
      </c>
      <c r="F45" s="14" t="s">
        <v>94</v>
      </c>
      <c r="G45" s="2">
        <v>44099</v>
      </c>
      <c r="H45" s="2">
        <v>44099</v>
      </c>
      <c r="I45" s="2">
        <v>47848</v>
      </c>
      <c r="J45" s="17">
        <v>1.5</v>
      </c>
      <c r="K45" s="2" t="s">
        <v>156</v>
      </c>
      <c r="L45" s="2">
        <v>44330</v>
      </c>
      <c r="M45" s="2">
        <v>44330</v>
      </c>
      <c r="N45" s="2">
        <v>46154</v>
      </c>
      <c r="O45" s="5" t="s">
        <v>199</v>
      </c>
      <c r="P45" s="5" t="s">
        <v>173</v>
      </c>
    </row>
    <row r="46" spans="2:16" ht="75.75" customHeight="1" x14ac:dyDescent="0.25">
      <c r="B46" t="s">
        <v>142</v>
      </c>
      <c r="C46">
        <v>8517620003</v>
      </c>
      <c r="D46" s="19">
        <v>1595</v>
      </c>
      <c r="E46" s="5" t="s">
        <v>151</v>
      </c>
      <c r="F46" s="14" t="s">
        <v>20</v>
      </c>
      <c r="G46" s="2">
        <v>42972</v>
      </c>
      <c r="H46" s="2">
        <v>42972</v>
      </c>
      <c r="I46" s="2">
        <v>44369</v>
      </c>
      <c r="J46" s="17">
        <v>4</v>
      </c>
      <c r="K46" t="s">
        <v>47</v>
      </c>
      <c r="L46" s="2">
        <v>43787</v>
      </c>
      <c r="M46" s="2">
        <v>43787</v>
      </c>
      <c r="N46" s="2">
        <v>45613</v>
      </c>
      <c r="O46" s="5" t="s">
        <v>199</v>
      </c>
      <c r="P46" s="5" t="s">
        <v>149</v>
      </c>
    </row>
    <row r="47" spans="2:16" ht="54" customHeight="1" x14ac:dyDescent="0.25">
      <c r="B47" t="s">
        <v>143</v>
      </c>
      <c r="C47">
        <v>8517620003</v>
      </c>
      <c r="D47" s="19">
        <v>1244</v>
      </c>
      <c r="E47" s="5" t="s">
        <v>151</v>
      </c>
      <c r="F47" s="14" t="s">
        <v>153</v>
      </c>
      <c r="G47" s="2">
        <v>42972</v>
      </c>
      <c r="H47" s="2">
        <v>42972</v>
      </c>
      <c r="I47" s="2">
        <v>44369</v>
      </c>
      <c r="J47" s="17">
        <v>4</v>
      </c>
      <c r="K47" t="s">
        <v>47</v>
      </c>
      <c r="L47" s="2">
        <v>43787</v>
      </c>
      <c r="M47" s="2">
        <v>43787</v>
      </c>
      <c r="N47" s="2">
        <v>45613</v>
      </c>
      <c r="O47" s="5" t="s">
        <v>199</v>
      </c>
      <c r="P47" s="5" t="s">
        <v>150</v>
      </c>
    </row>
    <row r="48" spans="2:16" ht="40.5" customHeight="1" x14ac:dyDescent="0.25">
      <c r="B48" t="s">
        <v>147</v>
      </c>
      <c r="C48">
        <v>8517620003</v>
      </c>
      <c r="D48" s="19">
        <v>2160</v>
      </c>
      <c r="E48" s="5" t="s">
        <v>151</v>
      </c>
      <c r="F48" s="14" t="s">
        <v>162</v>
      </c>
      <c r="G48" s="2">
        <v>44383</v>
      </c>
      <c r="H48" s="2">
        <v>44383</v>
      </c>
      <c r="I48" s="2">
        <v>48213</v>
      </c>
      <c r="J48" s="17">
        <v>10</v>
      </c>
      <c r="K48" t="s">
        <v>42</v>
      </c>
      <c r="L48" s="2">
        <v>43908</v>
      </c>
      <c r="M48" s="2">
        <v>43908</v>
      </c>
      <c r="N48" s="2">
        <v>45733</v>
      </c>
      <c r="O48" s="5" t="s">
        <v>199</v>
      </c>
      <c r="P48" s="5" t="s">
        <v>166</v>
      </c>
    </row>
    <row r="49" spans="1:16" ht="63.75" customHeight="1" x14ac:dyDescent="0.25">
      <c r="B49" t="s">
        <v>155</v>
      </c>
      <c r="C49">
        <v>8517620003</v>
      </c>
      <c r="D49" s="19">
        <v>499.5</v>
      </c>
      <c r="E49" s="5" t="s">
        <v>151</v>
      </c>
      <c r="F49" t="s">
        <v>94</v>
      </c>
      <c r="G49" s="2">
        <v>44099</v>
      </c>
      <c r="H49" s="2">
        <v>44099</v>
      </c>
      <c r="I49" s="2">
        <v>47848</v>
      </c>
      <c r="J49" s="17">
        <v>1.1000000000000001</v>
      </c>
      <c r="K49" t="s">
        <v>156</v>
      </c>
      <c r="L49" s="2">
        <v>44330</v>
      </c>
      <c r="M49" s="2">
        <v>44330</v>
      </c>
      <c r="N49" s="2">
        <v>46154</v>
      </c>
      <c r="O49" s="5" t="s">
        <v>199</v>
      </c>
      <c r="P49" s="5" t="s">
        <v>157</v>
      </c>
    </row>
    <row r="50" spans="1:16" ht="192" customHeight="1" x14ac:dyDescent="0.25">
      <c r="B50" t="s">
        <v>49</v>
      </c>
      <c r="C50">
        <v>8517620002</v>
      </c>
      <c r="D50" s="19">
        <v>2179.6</v>
      </c>
      <c r="E50" s="5" t="s">
        <v>312</v>
      </c>
      <c r="F50" s="14" t="s">
        <v>162</v>
      </c>
      <c r="G50" s="2">
        <v>44383</v>
      </c>
      <c r="H50" s="2">
        <v>44383</v>
      </c>
      <c r="I50" s="2">
        <v>48213</v>
      </c>
      <c r="J50" s="17">
        <v>10</v>
      </c>
      <c r="K50" t="s">
        <v>42</v>
      </c>
      <c r="L50" s="2">
        <v>43908</v>
      </c>
      <c r="M50" s="2">
        <v>43908</v>
      </c>
      <c r="N50" s="2">
        <v>45733</v>
      </c>
      <c r="O50" s="5" t="s">
        <v>199</v>
      </c>
      <c r="P50" s="5" t="s">
        <v>163</v>
      </c>
    </row>
    <row r="51" spans="1:16" ht="39.950000000000003" customHeight="1" x14ac:dyDescent="0.25">
      <c r="B51" t="s">
        <v>161</v>
      </c>
      <c r="C51">
        <v>8517620003</v>
      </c>
      <c r="D51" s="19">
        <v>1250</v>
      </c>
      <c r="E51" s="5" t="s">
        <v>151</v>
      </c>
      <c r="F51" s="14" t="s">
        <v>162</v>
      </c>
      <c r="G51" s="2">
        <v>44383</v>
      </c>
      <c r="H51" s="2">
        <v>44383</v>
      </c>
      <c r="I51" s="2">
        <v>48213</v>
      </c>
      <c r="J51" s="17">
        <v>10</v>
      </c>
      <c r="K51" t="s">
        <v>156</v>
      </c>
      <c r="L51" s="2">
        <v>44330</v>
      </c>
      <c r="M51" s="2">
        <v>44330</v>
      </c>
      <c r="N51" s="2">
        <v>46154</v>
      </c>
      <c r="O51" s="5" t="s">
        <v>199</v>
      </c>
      <c r="P51" s="5" t="s">
        <v>164</v>
      </c>
    </row>
    <row r="52" spans="1:16" ht="41.25" customHeight="1" x14ac:dyDescent="0.25">
      <c r="B52" t="s">
        <v>168</v>
      </c>
      <c r="C52">
        <v>8517620003</v>
      </c>
      <c r="D52" s="19">
        <v>479</v>
      </c>
      <c r="E52" s="5" t="s">
        <v>151</v>
      </c>
      <c r="F52" s="14" t="s">
        <v>162</v>
      </c>
      <c r="G52" s="2">
        <v>44383</v>
      </c>
      <c r="H52" s="2">
        <v>44383</v>
      </c>
      <c r="I52" s="2">
        <v>48213</v>
      </c>
      <c r="J52" s="17">
        <v>1.35</v>
      </c>
      <c r="K52" s="2" t="s">
        <v>170</v>
      </c>
      <c r="L52" s="2">
        <v>44375</v>
      </c>
      <c r="M52" s="2">
        <v>44375</v>
      </c>
      <c r="N52" s="2">
        <v>46196</v>
      </c>
      <c r="O52" s="5" t="s">
        <v>199</v>
      </c>
      <c r="P52" s="5" t="s">
        <v>171</v>
      </c>
    </row>
    <row r="53" spans="1:16" ht="110.25" customHeight="1" x14ac:dyDescent="0.25">
      <c r="B53" t="s">
        <v>169</v>
      </c>
      <c r="C53">
        <v>8517620003</v>
      </c>
      <c r="D53" s="19">
        <v>329.5</v>
      </c>
      <c r="E53" s="5" t="s">
        <v>296</v>
      </c>
      <c r="F53" s="14" t="s">
        <v>94</v>
      </c>
      <c r="G53" s="2">
        <v>44099</v>
      </c>
      <c r="H53" s="2">
        <v>44099</v>
      </c>
      <c r="I53" s="2">
        <v>47848</v>
      </c>
      <c r="J53" s="17">
        <v>1.5</v>
      </c>
      <c r="K53" t="s">
        <v>156</v>
      </c>
      <c r="L53" s="2">
        <v>44330</v>
      </c>
      <c r="M53" s="2">
        <v>44330</v>
      </c>
      <c r="N53" s="2">
        <v>46154</v>
      </c>
      <c r="O53" s="5" t="s">
        <v>199</v>
      </c>
      <c r="P53" s="5" t="s">
        <v>172</v>
      </c>
    </row>
    <row r="54" spans="1:16" ht="387" customHeight="1" x14ac:dyDescent="0.25">
      <c r="B54" t="s">
        <v>176</v>
      </c>
      <c r="C54">
        <v>8517620003</v>
      </c>
      <c r="D54" s="19">
        <v>1326.7</v>
      </c>
      <c r="E54" s="5" t="s">
        <v>151</v>
      </c>
      <c r="F54" t="s">
        <v>178</v>
      </c>
      <c r="G54" s="2">
        <v>44431</v>
      </c>
      <c r="H54" s="2">
        <v>44431</v>
      </c>
      <c r="I54" s="2">
        <v>48213</v>
      </c>
      <c r="J54" s="17">
        <v>3</v>
      </c>
      <c r="K54" t="s">
        <v>179</v>
      </c>
      <c r="L54" s="2">
        <v>44435</v>
      </c>
      <c r="M54" s="2">
        <v>44435</v>
      </c>
      <c r="N54" s="2">
        <v>46253</v>
      </c>
      <c r="O54" s="5" t="s">
        <v>262</v>
      </c>
      <c r="P54" s="5" t="s">
        <v>177</v>
      </c>
    </row>
    <row r="55" spans="1:16" ht="71.25" customHeight="1" x14ac:dyDescent="0.25">
      <c r="B55" t="s">
        <v>183</v>
      </c>
      <c r="C55">
        <v>8517620003</v>
      </c>
      <c r="D55" s="19">
        <v>424.5</v>
      </c>
      <c r="E55" s="5" t="s">
        <v>151</v>
      </c>
      <c r="F55" s="14" t="s">
        <v>94</v>
      </c>
      <c r="G55" s="2">
        <v>44099</v>
      </c>
      <c r="H55" s="2">
        <v>44099</v>
      </c>
      <c r="I55" s="2">
        <v>47848</v>
      </c>
      <c r="J55" s="17">
        <v>1.1000000000000001</v>
      </c>
      <c r="K55" t="s">
        <v>156</v>
      </c>
      <c r="L55" s="2">
        <v>44330</v>
      </c>
      <c r="M55" s="2">
        <v>44330</v>
      </c>
      <c r="N55" s="2">
        <v>46154</v>
      </c>
      <c r="O55" s="5" t="s">
        <v>199</v>
      </c>
      <c r="P55" s="5" t="s">
        <v>184</v>
      </c>
    </row>
    <row r="56" spans="1:16" ht="132.75" customHeight="1" x14ac:dyDescent="0.25">
      <c r="B56" t="s">
        <v>191</v>
      </c>
      <c r="C56">
        <v>8517620003</v>
      </c>
      <c r="D56" s="19">
        <v>229.5</v>
      </c>
      <c r="E56" s="5" t="s">
        <v>151</v>
      </c>
      <c r="F56" s="14" t="s">
        <v>94</v>
      </c>
      <c r="G56" s="2">
        <v>44099</v>
      </c>
      <c r="H56" s="2">
        <v>44099</v>
      </c>
      <c r="I56" s="2">
        <v>47848</v>
      </c>
      <c r="J56" s="17">
        <v>1.1000000000000001</v>
      </c>
      <c r="K56" t="s">
        <v>156</v>
      </c>
      <c r="L56" s="2">
        <v>44330</v>
      </c>
      <c r="M56" s="2">
        <v>44330</v>
      </c>
      <c r="N56" s="2">
        <v>46154</v>
      </c>
      <c r="O56" s="5" t="s">
        <v>199</v>
      </c>
      <c r="P56" s="5" t="s">
        <v>159</v>
      </c>
    </row>
    <row r="57" spans="1:16" ht="114" customHeight="1" x14ac:dyDescent="0.25">
      <c r="B57" t="s">
        <v>161</v>
      </c>
      <c r="C57">
        <v>8517620003</v>
      </c>
      <c r="D57" s="19">
        <v>1309</v>
      </c>
      <c r="E57" s="5" t="s">
        <v>151</v>
      </c>
      <c r="F57" s="14" t="s">
        <v>162</v>
      </c>
      <c r="G57" s="2">
        <v>44383</v>
      </c>
      <c r="H57" s="2">
        <v>44383</v>
      </c>
      <c r="I57" s="2">
        <v>48213</v>
      </c>
      <c r="J57" s="17">
        <v>10</v>
      </c>
      <c r="K57" t="s">
        <v>156</v>
      </c>
      <c r="L57" s="2">
        <v>44330</v>
      </c>
      <c r="M57" s="2">
        <v>44330</v>
      </c>
      <c r="N57" s="2">
        <v>46154</v>
      </c>
      <c r="O57" s="5" t="s">
        <v>199</v>
      </c>
      <c r="P57" s="5" t="s">
        <v>194</v>
      </c>
    </row>
    <row r="58" spans="1:16" ht="208.5" customHeight="1" x14ac:dyDescent="0.25">
      <c r="B58" t="s">
        <v>196</v>
      </c>
      <c r="C58">
        <v>8517620003</v>
      </c>
      <c r="D58" s="19">
        <v>225</v>
      </c>
      <c r="E58" s="5" t="s">
        <v>151</v>
      </c>
      <c r="F58" t="s">
        <v>197</v>
      </c>
      <c r="G58" s="2">
        <v>44543</v>
      </c>
      <c r="H58" s="2">
        <v>44543</v>
      </c>
      <c r="I58" s="2">
        <v>48213</v>
      </c>
      <c r="J58" s="17">
        <v>0.76</v>
      </c>
      <c r="K58" s="2" t="s">
        <v>198</v>
      </c>
      <c r="L58" s="2">
        <v>44547</v>
      </c>
      <c r="M58" s="2">
        <v>44547</v>
      </c>
      <c r="N58" s="2">
        <v>46371</v>
      </c>
      <c r="O58" s="5" t="s">
        <v>199</v>
      </c>
      <c r="P58" s="5" t="s">
        <v>200</v>
      </c>
    </row>
    <row r="59" spans="1:16" ht="39.950000000000003" customHeight="1" x14ac:dyDescent="0.25">
      <c r="B59" t="s">
        <v>203</v>
      </c>
      <c r="C59">
        <v>8517620003</v>
      </c>
      <c r="D59" s="19">
        <v>495</v>
      </c>
      <c r="E59" s="5" t="s">
        <v>151</v>
      </c>
      <c r="F59" s="14" t="s">
        <v>112</v>
      </c>
      <c r="G59" s="2">
        <v>44099</v>
      </c>
      <c r="H59" s="2">
        <v>44099</v>
      </c>
      <c r="I59" s="2">
        <v>47848</v>
      </c>
      <c r="J59" s="17">
        <v>1.5</v>
      </c>
      <c r="K59" s="2" t="s">
        <v>156</v>
      </c>
      <c r="L59" s="2">
        <v>44330</v>
      </c>
      <c r="M59" s="2">
        <v>44330</v>
      </c>
      <c r="N59" s="2">
        <v>46154</v>
      </c>
      <c r="O59" s="5" t="s">
        <v>199</v>
      </c>
      <c r="P59" s="5" t="s">
        <v>204</v>
      </c>
    </row>
    <row r="60" spans="1:16" ht="39.950000000000003" customHeight="1" x14ac:dyDescent="0.25">
      <c r="A60">
        <v>1</v>
      </c>
      <c r="B60" t="s">
        <v>206</v>
      </c>
      <c r="C60">
        <v>8517620003</v>
      </c>
      <c r="D60" s="19">
        <v>3432</v>
      </c>
      <c r="E60" s="5" t="s">
        <v>151</v>
      </c>
      <c r="F60" s="14" t="s">
        <v>162</v>
      </c>
      <c r="G60" s="2">
        <v>44383</v>
      </c>
      <c r="H60" s="2">
        <v>44383</v>
      </c>
      <c r="I60" s="2">
        <v>48213</v>
      </c>
      <c r="J60" s="17">
        <v>10</v>
      </c>
      <c r="K60" t="s">
        <v>42</v>
      </c>
      <c r="L60" s="2">
        <v>43908</v>
      </c>
      <c r="M60" s="2">
        <v>43908</v>
      </c>
      <c r="N60" s="2">
        <v>45733</v>
      </c>
      <c r="O60" s="5" t="s">
        <v>199</v>
      </c>
      <c r="P60" s="5" t="s">
        <v>211</v>
      </c>
    </row>
    <row r="61" spans="1:16" ht="147" customHeight="1" x14ac:dyDescent="0.25">
      <c r="A61">
        <v>1</v>
      </c>
      <c r="B61" t="s">
        <v>209</v>
      </c>
      <c r="C61">
        <v>8517620003</v>
      </c>
      <c r="D61" s="19">
        <v>446</v>
      </c>
      <c r="E61" s="5" t="s">
        <v>151</v>
      </c>
      <c r="F61" s="5" t="s">
        <v>214</v>
      </c>
      <c r="G61" s="2">
        <v>44099</v>
      </c>
      <c r="H61" s="2">
        <v>44099</v>
      </c>
      <c r="I61" s="2">
        <v>47848</v>
      </c>
      <c r="J61" s="17">
        <v>1.5</v>
      </c>
      <c r="K61" t="s">
        <v>95</v>
      </c>
      <c r="L61" s="2">
        <v>43984</v>
      </c>
      <c r="M61" s="2">
        <v>43984</v>
      </c>
      <c r="N61" s="2">
        <v>45809</v>
      </c>
      <c r="O61" s="5" t="s">
        <v>199</v>
      </c>
      <c r="P61" s="5" t="s">
        <v>215</v>
      </c>
    </row>
    <row r="62" spans="1:16" ht="53.25" customHeight="1" x14ac:dyDescent="0.25">
      <c r="A62">
        <v>1</v>
      </c>
      <c r="B62" t="s">
        <v>207</v>
      </c>
      <c r="C62">
        <v>8517620003</v>
      </c>
      <c r="D62" s="19">
        <v>368</v>
      </c>
      <c r="E62" s="5" t="s">
        <v>151</v>
      </c>
      <c r="F62" t="s">
        <v>94</v>
      </c>
      <c r="G62" s="2">
        <v>44099</v>
      </c>
      <c r="H62" s="2">
        <v>44099</v>
      </c>
      <c r="I62" s="2">
        <v>47848</v>
      </c>
      <c r="J62" s="17">
        <v>1.5</v>
      </c>
      <c r="K62" t="s">
        <v>95</v>
      </c>
      <c r="L62" s="2">
        <v>43984</v>
      </c>
      <c r="M62" s="2">
        <v>43984</v>
      </c>
      <c r="N62" s="2">
        <v>45809</v>
      </c>
      <c r="O62" s="5" t="s">
        <v>199</v>
      </c>
      <c r="P62" s="5" t="s">
        <v>212</v>
      </c>
    </row>
    <row r="63" spans="1:16" ht="39.950000000000003" customHeight="1" x14ac:dyDescent="0.25">
      <c r="A63">
        <v>1</v>
      </c>
      <c r="B63" t="s">
        <v>208</v>
      </c>
      <c r="C63">
        <v>8517620003</v>
      </c>
      <c r="D63" s="19">
        <v>320</v>
      </c>
      <c r="E63" s="5" t="s">
        <v>151</v>
      </c>
      <c r="F63" t="s">
        <v>197</v>
      </c>
      <c r="G63" s="2">
        <v>44543</v>
      </c>
      <c r="H63" s="2">
        <v>44543</v>
      </c>
      <c r="I63" s="2">
        <v>48213</v>
      </c>
      <c r="J63" s="17">
        <v>0.84</v>
      </c>
      <c r="K63" t="s">
        <v>198</v>
      </c>
      <c r="L63" s="2">
        <v>44547</v>
      </c>
      <c r="M63" s="2">
        <v>44547</v>
      </c>
      <c r="N63" s="2">
        <v>46371</v>
      </c>
      <c r="O63" s="5" t="s">
        <v>199</v>
      </c>
      <c r="P63" s="5" t="s">
        <v>213</v>
      </c>
    </row>
    <row r="64" spans="1:16" ht="222" customHeight="1" x14ac:dyDescent="0.25">
      <c r="B64" t="s">
        <v>217</v>
      </c>
      <c r="C64">
        <v>8517620003</v>
      </c>
      <c r="D64" s="19">
        <v>215</v>
      </c>
      <c r="E64" s="5" t="s">
        <v>297</v>
      </c>
      <c r="F64" t="s">
        <v>197</v>
      </c>
      <c r="G64" s="2">
        <v>44543</v>
      </c>
      <c r="H64" s="2">
        <v>44543</v>
      </c>
      <c r="I64" s="2">
        <v>48213</v>
      </c>
      <c r="J64" s="17">
        <v>0.84</v>
      </c>
      <c r="K64" t="s">
        <v>198</v>
      </c>
      <c r="L64" s="2">
        <v>44547</v>
      </c>
      <c r="M64" s="2">
        <v>44547</v>
      </c>
      <c r="N64" s="2">
        <v>46371</v>
      </c>
      <c r="O64" s="5" t="s">
        <v>199</v>
      </c>
      <c r="P64" s="5" t="s">
        <v>218</v>
      </c>
    </row>
    <row r="65" spans="2:16" ht="132.75" customHeight="1" x14ac:dyDescent="0.25">
      <c r="B65" t="s">
        <v>227</v>
      </c>
      <c r="C65">
        <v>8517620003</v>
      </c>
      <c r="D65" s="19">
        <v>242</v>
      </c>
      <c r="E65" s="5" t="s">
        <v>151</v>
      </c>
      <c r="F65" t="s">
        <v>94</v>
      </c>
      <c r="G65" s="2">
        <v>44099</v>
      </c>
      <c r="H65" s="2">
        <v>44099</v>
      </c>
      <c r="I65" s="2">
        <v>47848</v>
      </c>
      <c r="J65" s="17">
        <v>1.1000000000000001</v>
      </c>
      <c r="K65" t="s">
        <v>156</v>
      </c>
      <c r="L65" s="2">
        <v>43984</v>
      </c>
      <c r="M65" s="2">
        <v>43984</v>
      </c>
      <c r="N65" s="2">
        <v>45809</v>
      </c>
      <c r="O65" s="5" t="s">
        <v>199</v>
      </c>
      <c r="P65" s="5" t="s">
        <v>236</v>
      </c>
    </row>
    <row r="66" spans="2:16" ht="39.950000000000003" customHeight="1" x14ac:dyDescent="0.25">
      <c r="B66" t="s">
        <v>228</v>
      </c>
      <c r="C66">
        <v>8517620003</v>
      </c>
      <c r="D66" s="19">
        <v>604</v>
      </c>
      <c r="E66" s="5" t="s">
        <v>151</v>
      </c>
      <c r="F66" t="s">
        <v>94</v>
      </c>
      <c r="G66" s="2">
        <v>44099</v>
      </c>
      <c r="H66" s="2">
        <v>44099</v>
      </c>
      <c r="I66" s="2">
        <v>47848</v>
      </c>
      <c r="J66" s="17">
        <v>1.1000000000000001</v>
      </c>
      <c r="K66" t="s">
        <v>156</v>
      </c>
      <c r="L66" s="2">
        <v>43984</v>
      </c>
      <c r="M66" s="2">
        <v>43984</v>
      </c>
      <c r="N66" s="2">
        <v>45809</v>
      </c>
      <c r="O66" s="5" t="s">
        <v>199</v>
      </c>
      <c r="P66" s="5" t="s">
        <v>236</v>
      </c>
    </row>
    <row r="67" spans="2:16" ht="39.950000000000003" customHeight="1" x14ac:dyDescent="0.25">
      <c r="B67" t="s">
        <v>229</v>
      </c>
      <c r="C67">
        <v>8517620003</v>
      </c>
      <c r="D67" s="19">
        <v>446</v>
      </c>
      <c r="E67" s="5" t="s">
        <v>151</v>
      </c>
      <c r="F67" t="s">
        <v>94</v>
      </c>
      <c r="G67" s="2">
        <v>44099</v>
      </c>
      <c r="H67" s="2">
        <v>44099</v>
      </c>
      <c r="I67" s="2">
        <v>47848</v>
      </c>
      <c r="J67" s="17">
        <v>1.1000000000000001</v>
      </c>
      <c r="K67" t="s">
        <v>156</v>
      </c>
      <c r="L67" s="2">
        <v>43984</v>
      </c>
      <c r="M67" s="2">
        <v>43984</v>
      </c>
      <c r="N67" s="2">
        <v>45809</v>
      </c>
      <c r="O67" s="5" t="s">
        <v>199</v>
      </c>
      <c r="P67" s="5" t="s">
        <v>236</v>
      </c>
    </row>
    <row r="68" spans="2:16" ht="156" customHeight="1" x14ac:dyDescent="0.25">
      <c r="B68" t="s">
        <v>231</v>
      </c>
      <c r="C68">
        <v>8517620002</v>
      </c>
      <c r="D68" s="19">
        <v>1744.8</v>
      </c>
      <c r="E68" s="5" t="s">
        <v>151</v>
      </c>
      <c r="F68" t="s">
        <v>162</v>
      </c>
      <c r="G68" s="2">
        <v>44383</v>
      </c>
      <c r="H68" s="2">
        <v>44383</v>
      </c>
      <c r="I68" s="2">
        <v>48213</v>
      </c>
      <c r="J68" s="17">
        <v>10</v>
      </c>
      <c r="K68" t="s">
        <v>42</v>
      </c>
      <c r="L68" s="2">
        <v>43908</v>
      </c>
      <c r="M68" s="2">
        <v>43908</v>
      </c>
      <c r="N68" s="2">
        <v>45733</v>
      </c>
      <c r="O68" s="5" t="s">
        <v>199</v>
      </c>
      <c r="P68" s="5" t="s">
        <v>238</v>
      </c>
    </row>
    <row r="69" spans="2:16" ht="156" customHeight="1" x14ac:dyDescent="0.25">
      <c r="B69" t="s">
        <v>230</v>
      </c>
      <c r="C69">
        <v>8517620003</v>
      </c>
      <c r="D69" s="19">
        <v>90</v>
      </c>
      <c r="E69" s="5" t="s">
        <v>151</v>
      </c>
      <c r="F69" t="s">
        <v>234</v>
      </c>
      <c r="G69" s="2">
        <v>44543</v>
      </c>
      <c r="H69" s="2">
        <v>44543</v>
      </c>
      <c r="I69" s="2">
        <v>48213</v>
      </c>
      <c r="J69" s="17">
        <v>0.3</v>
      </c>
      <c r="K69" t="s">
        <v>233</v>
      </c>
      <c r="L69" s="2">
        <v>44330</v>
      </c>
      <c r="M69" s="2">
        <v>44330</v>
      </c>
      <c r="N69" s="2">
        <v>46154</v>
      </c>
      <c r="O69" s="5" t="s">
        <v>199</v>
      </c>
      <c r="P69" s="5" t="s">
        <v>239</v>
      </c>
    </row>
    <row r="70" spans="2:16" ht="22.5" customHeight="1" x14ac:dyDescent="0.25">
      <c r="B70" t="s">
        <v>232</v>
      </c>
      <c r="C70">
        <v>8517620003</v>
      </c>
      <c r="D70" s="19">
        <v>902</v>
      </c>
      <c r="E70" s="5" t="s">
        <v>151</v>
      </c>
      <c r="F70" t="s">
        <v>235</v>
      </c>
      <c r="G70" s="2">
        <v>44431</v>
      </c>
      <c r="H70" s="2">
        <v>44431</v>
      </c>
      <c r="I70" s="2">
        <v>48213</v>
      </c>
      <c r="J70" s="17">
        <v>4</v>
      </c>
      <c r="K70" t="s">
        <v>47</v>
      </c>
      <c r="L70" s="2">
        <v>43787</v>
      </c>
      <c r="M70" s="2">
        <v>43787</v>
      </c>
      <c r="N70" s="2">
        <v>45613</v>
      </c>
      <c r="O70" s="5" t="s">
        <v>199</v>
      </c>
      <c r="P70" s="5" t="s">
        <v>237</v>
      </c>
    </row>
    <row r="71" spans="2:16" ht="38.25" customHeight="1" x14ac:dyDescent="0.25">
      <c r="B71" t="s">
        <v>241</v>
      </c>
      <c r="C71">
        <v>8517620003</v>
      </c>
      <c r="D71" s="19">
        <v>1585.6</v>
      </c>
      <c r="E71" s="5" t="s">
        <v>151</v>
      </c>
      <c r="F71" t="s">
        <v>162</v>
      </c>
      <c r="G71" s="2">
        <v>44383</v>
      </c>
      <c r="H71" s="2">
        <v>44383</v>
      </c>
      <c r="I71" s="2">
        <v>48213</v>
      </c>
      <c r="J71" s="17">
        <v>10</v>
      </c>
      <c r="K71" t="s">
        <v>42</v>
      </c>
      <c r="L71" s="2">
        <v>43908</v>
      </c>
      <c r="M71" s="2">
        <v>43908</v>
      </c>
      <c r="N71" s="2">
        <v>45733</v>
      </c>
      <c r="O71" s="5" t="s">
        <v>199</v>
      </c>
      <c r="P71" s="5" t="s">
        <v>242</v>
      </c>
    </row>
    <row r="72" spans="2:16" ht="39.950000000000003" customHeight="1" x14ac:dyDescent="0.25">
      <c r="B72" t="s">
        <v>243</v>
      </c>
      <c r="C72">
        <v>8517620003</v>
      </c>
      <c r="D72" s="19">
        <v>48</v>
      </c>
      <c r="E72" s="5" t="s">
        <v>151</v>
      </c>
      <c r="F72" t="s">
        <v>245</v>
      </c>
      <c r="G72" s="2">
        <v>44761</v>
      </c>
      <c r="H72" s="2">
        <v>44761</v>
      </c>
      <c r="I72" s="2">
        <v>48579</v>
      </c>
      <c r="J72" s="17">
        <v>0.2</v>
      </c>
      <c r="K72" t="s">
        <v>246</v>
      </c>
      <c r="L72" s="2">
        <v>44826</v>
      </c>
      <c r="M72" s="2">
        <v>44826</v>
      </c>
      <c r="N72" s="2">
        <v>46651</v>
      </c>
      <c r="O72" s="5" t="s">
        <v>199</v>
      </c>
      <c r="P72" s="5" t="s">
        <v>244</v>
      </c>
    </row>
    <row r="73" spans="2:16" ht="88.5" customHeight="1" x14ac:dyDescent="0.25">
      <c r="B73" s="27" t="s">
        <v>247</v>
      </c>
      <c r="C73">
        <v>8517620003</v>
      </c>
      <c r="D73" s="19">
        <v>320</v>
      </c>
      <c r="E73" s="5" t="s">
        <v>151</v>
      </c>
      <c r="F73" t="s">
        <v>197</v>
      </c>
      <c r="G73" s="2">
        <v>44543</v>
      </c>
      <c r="H73" s="2">
        <v>44543</v>
      </c>
      <c r="I73" s="2">
        <v>48213</v>
      </c>
      <c r="J73" s="17">
        <v>0.84</v>
      </c>
      <c r="K73" t="s">
        <v>198</v>
      </c>
      <c r="L73" s="2">
        <v>44547</v>
      </c>
      <c r="M73" s="2">
        <v>44547</v>
      </c>
      <c r="N73" s="2">
        <v>46371</v>
      </c>
      <c r="O73" s="5" t="s">
        <v>199</v>
      </c>
      <c r="P73" s="5" t="s">
        <v>251</v>
      </c>
    </row>
    <row r="74" spans="2:16" ht="51.75" customHeight="1" x14ac:dyDescent="0.25">
      <c r="B74" s="27" t="s">
        <v>248</v>
      </c>
      <c r="C74">
        <v>8517620003</v>
      </c>
      <c r="D74" s="19">
        <v>515</v>
      </c>
      <c r="E74" s="5" t="s">
        <v>151</v>
      </c>
      <c r="F74" t="s">
        <v>139</v>
      </c>
      <c r="G74" s="2">
        <v>44284</v>
      </c>
      <c r="H74" s="2">
        <v>44284</v>
      </c>
      <c r="I74" s="2">
        <v>47848</v>
      </c>
      <c r="J74" s="17">
        <v>1.25</v>
      </c>
      <c r="K74" t="s">
        <v>250</v>
      </c>
      <c r="L74" s="2">
        <v>44720</v>
      </c>
      <c r="M74" s="2">
        <v>44720</v>
      </c>
      <c r="N74" s="2">
        <v>46545</v>
      </c>
      <c r="O74" s="5" t="s">
        <v>199</v>
      </c>
      <c r="P74" s="5" t="s">
        <v>249</v>
      </c>
    </row>
    <row r="75" spans="2:16" ht="243.75" customHeight="1" x14ac:dyDescent="0.25">
      <c r="B75" t="s">
        <v>254</v>
      </c>
      <c r="C75">
        <v>8517620003</v>
      </c>
      <c r="D75" s="19">
        <v>347</v>
      </c>
      <c r="E75" s="5" t="s">
        <v>295</v>
      </c>
      <c r="F75" t="s">
        <v>197</v>
      </c>
      <c r="G75" s="2">
        <v>44543</v>
      </c>
      <c r="H75" s="2">
        <v>44543</v>
      </c>
      <c r="I75" s="2">
        <v>48213</v>
      </c>
      <c r="J75" s="17">
        <v>0.84</v>
      </c>
      <c r="K75" t="s">
        <v>198</v>
      </c>
      <c r="L75" s="2">
        <v>44547</v>
      </c>
      <c r="M75" s="2">
        <v>44547</v>
      </c>
      <c r="N75" s="2">
        <v>46371</v>
      </c>
      <c r="O75" s="5" t="s">
        <v>262</v>
      </c>
      <c r="P75" s="5" t="s">
        <v>255</v>
      </c>
    </row>
    <row r="76" spans="2:16" ht="171.75" customHeight="1" x14ac:dyDescent="0.25">
      <c r="B76" t="s">
        <v>256</v>
      </c>
      <c r="C76">
        <v>8517620003</v>
      </c>
      <c r="D76" s="19">
        <v>299</v>
      </c>
      <c r="E76" s="5" t="s">
        <v>151</v>
      </c>
      <c r="F76" t="s">
        <v>197</v>
      </c>
      <c r="G76" s="2">
        <v>44543</v>
      </c>
      <c r="H76" s="2">
        <v>44543</v>
      </c>
      <c r="I76" s="2">
        <v>48213</v>
      </c>
      <c r="J76" s="17">
        <v>0.84</v>
      </c>
      <c r="K76" t="s">
        <v>198</v>
      </c>
      <c r="L76" s="2">
        <v>44547</v>
      </c>
      <c r="M76" s="2">
        <v>44547</v>
      </c>
      <c r="N76" s="2">
        <v>46371</v>
      </c>
      <c r="O76" s="5" t="s">
        <v>262</v>
      </c>
      <c r="P76" s="5" t="s">
        <v>257</v>
      </c>
    </row>
    <row r="77" spans="2:16" ht="78" customHeight="1" x14ac:dyDescent="0.25">
      <c r="B77" t="s">
        <v>261</v>
      </c>
      <c r="C77">
        <v>8517620003</v>
      </c>
      <c r="D77" s="19">
        <v>221</v>
      </c>
      <c r="E77" s="5" t="s">
        <v>151</v>
      </c>
      <c r="F77" s="14" t="s">
        <v>94</v>
      </c>
      <c r="G77" s="2">
        <v>44099</v>
      </c>
      <c r="H77" s="2">
        <v>44099</v>
      </c>
      <c r="I77" s="2">
        <v>47848</v>
      </c>
      <c r="J77" s="17">
        <v>0.76</v>
      </c>
      <c r="K77" t="s">
        <v>156</v>
      </c>
      <c r="L77" s="2">
        <v>44330</v>
      </c>
      <c r="M77" s="2">
        <v>44330</v>
      </c>
      <c r="N77" s="2">
        <v>46154</v>
      </c>
      <c r="O77" s="5" t="s">
        <v>262</v>
      </c>
      <c r="P77" s="5" t="s">
        <v>258</v>
      </c>
    </row>
    <row r="78" spans="2:16" ht="64.5" customHeight="1" x14ac:dyDescent="0.25">
      <c r="B78" t="s">
        <v>267</v>
      </c>
      <c r="C78">
        <v>8517620003</v>
      </c>
      <c r="D78" s="19">
        <v>299</v>
      </c>
      <c r="E78" s="5" t="s">
        <v>151</v>
      </c>
      <c r="F78" s="14" t="s">
        <v>197</v>
      </c>
      <c r="G78" s="2">
        <v>44543</v>
      </c>
      <c r="H78" s="2">
        <v>44543</v>
      </c>
      <c r="I78" s="2">
        <v>48213</v>
      </c>
      <c r="J78" s="17">
        <v>0.84</v>
      </c>
      <c r="K78" t="s">
        <v>198</v>
      </c>
      <c r="L78" s="2">
        <v>44547</v>
      </c>
      <c r="M78" s="2">
        <v>44547</v>
      </c>
      <c r="N78" s="2">
        <v>46371</v>
      </c>
      <c r="O78" s="5" t="s">
        <v>262</v>
      </c>
      <c r="P78" s="5" t="s">
        <v>260</v>
      </c>
    </row>
    <row r="79" spans="2:16" ht="51" customHeight="1" x14ac:dyDescent="0.25">
      <c r="B79" t="s">
        <v>269</v>
      </c>
      <c r="C79">
        <v>8517620003</v>
      </c>
      <c r="D79" s="19">
        <v>3312</v>
      </c>
      <c r="E79" s="5" t="s">
        <v>151</v>
      </c>
      <c r="F79" t="s">
        <v>162</v>
      </c>
      <c r="G79" s="2">
        <v>44383</v>
      </c>
      <c r="H79" s="2">
        <v>44383</v>
      </c>
      <c r="I79" s="2">
        <v>48213</v>
      </c>
      <c r="J79" s="17">
        <v>10</v>
      </c>
      <c r="K79" t="s">
        <v>156</v>
      </c>
      <c r="L79" s="2">
        <v>44330</v>
      </c>
      <c r="M79" s="2">
        <v>44330</v>
      </c>
      <c r="N79" s="2">
        <v>46154</v>
      </c>
      <c r="O79" s="5" t="s">
        <v>271</v>
      </c>
      <c r="P79" s="5" t="s">
        <v>270</v>
      </c>
    </row>
    <row r="80" spans="2:16" ht="366.75" customHeight="1" x14ac:dyDescent="0.25">
      <c r="B80" t="s">
        <v>272</v>
      </c>
      <c r="C80">
        <v>8517620003</v>
      </c>
      <c r="D80" s="19">
        <v>604</v>
      </c>
      <c r="E80" s="5" t="s">
        <v>298</v>
      </c>
      <c r="F80" t="s">
        <v>94</v>
      </c>
      <c r="G80" s="2">
        <v>44099</v>
      </c>
      <c r="H80" s="2">
        <v>44099</v>
      </c>
      <c r="I80" s="2">
        <v>47848</v>
      </c>
      <c r="J80" s="17">
        <v>0.3</v>
      </c>
      <c r="K80" t="s">
        <v>156</v>
      </c>
      <c r="L80" s="2">
        <v>44330</v>
      </c>
      <c r="M80" s="2">
        <v>44330</v>
      </c>
      <c r="N80" s="2">
        <v>46154</v>
      </c>
      <c r="O80" s="5" t="s">
        <v>262</v>
      </c>
      <c r="P80" s="5" t="s">
        <v>299</v>
      </c>
    </row>
    <row r="81" spans="2:16" ht="127.5" customHeight="1" x14ac:dyDescent="0.25">
      <c r="B81" t="s">
        <v>273</v>
      </c>
      <c r="C81">
        <v>8517620002</v>
      </c>
      <c r="D81" s="19">
        <v>90</v>
      </c>
      <c r="E81" s="5" t="s">
        <v>151</v>
      </c>
      <c r="F81" t="s">
        <v>234</v>
      </c>
      <c r="G81" s="2">
        <v>44543</v>
      </c>
      <c r="H81" s="2">
        <v>44543</v>
      </c>
      <c r="I81" s="2">
        <v>48213</v>
      </c>
      <c r="J81" s="17">
        <v>0.3</v>
      </c>
      <c r="K81" t="s">
        <v>274</v>
      </c>
      <c r="L81" s="2">
        <v>44879</v>
      </c>
      <c r="M81" s="2">
        <v>44879</v>
      </c>
      <c r="N81" s="2">
        <v>46701</v>
      </c>
      <c r="O81" s="5" t="s">
        <v>275</v>
      </c>
      <c r="P81" s="5" t="s">
        <v>279</v>
      </c>
    </row>
    <row r="82" spans="2:16" ht="46.5" customHeight="1" x14ac:dyDescent="0.25">
      <c r="B82" t="s">
        <v>281</v>
      </c>
      <c r="C82">
        <v>8517620003</v>
      </c>
      <c r="D82" s="19">
        <v>268</v>
      </c>
      <c r="E82" s="5" t="s">
        <v>151</v>
      </c>
      <c r="F82" s="14" t="s">
        <v>245</v>
      </c>
      <c r="G82" s="2">
        <v>44761</v>
      </c>
      <c r="H82" s="2">
        <v>44761</v>
      </c>
      <c r="I82" s="2">
        <v>48579</v>
      </c>
      <c r="J82" s="17">
        <v>1.1000000000000001</v>
      </c>
      <c r="K82" t="s">
        <v>282</v>
      </c>
      <c r="L82" s="2">
        <v>44826</v>
      </c>
      <c r="M82" s="2">
        <v>44826</v>
      </c>
      <c r="N82" s="2">
        <v>46651</v>
      </c>
      <c r="O82" s="5" t="s">
        <v>262</v>
      </c>
      <c r="P82" s="5" t="s">
        <v>283</v>
      </c>
    </row>
    <row r="83" spans="2:16" ht="285" x14ac:dyDescent="0.25">
      <c r="B83" t="s">
        <v>108</v>
      </c>
      <c r="C83">
        <v>8517620003</v>
      </c>
      <c r="E83" s="5" t="s">
        <v>151</v>
      </c>
      <c r="O83" s="5" t="s">
        <v>262</v>
      </c>
    </row>
    <row r="84" spans="2:16" ht="146.25" customHeight="1" x14ac:dyDescent="0.25">
      <c r="B84" t="s">
        <v>285</v>
      </c>
      <c r="C84">
        <v>8517620003</v>
      </c>
      <c r="D84" s="19">
        <v>368</v>
      </c>
      <c r="E84" s="5" t="s">
        <v>151</v>
      </c>
      <c r="F84" t="s">
        <v>94</v>
      </c>
      <c r="G84" s="2">
        <v>44099</v>
      </c>
      <c r="H84" s="2">
        <v>44099</v>
      </c>
      <c r="I84" s="2">
        <v>47848</v>
      </c>
      <c r="J84" s="17">
        <v>1.1000000000000001</v>
      </c>
      <c r="K84" t="s">
        <v>95</v>
      </c>
      <c r="L84" s="2">
        <v>43984</v>
      </c>
      <c r="M84" s="2">
        <v>43984</v>
      </c>
      <c r="N84" s="2">
        <v>45809</v>
      </c>
      <c r="O84" s="5" t="s">
        <v>262</v>
      </c>
      <c r="P84" s="5" t="s">
        <v>286</v>
      </c>
    </row>
    <row r="85" spans="2:16" ht="409.5" x14ac:dyDescent="0.25">
      <c r="B85" t="s">
        <v>289</v>
      </c>
      <c r="C85">
        <v>8517620003</v>
      </c>
      <c r="D85" s="19">
        <v>683</v>
      </c>
      <c r="E85" s="5" t="s">
        <v>294</v>
      </c>
      <c r="F85" t="s">
        <v>94</v>
      </c>
      <c r="G85" s="2">
        <v>44099</v>
      </c>
      <c r="H85" s="2">
        <v>44099</v>
      </c>
      <c r="I85" s="2">
        <v>47848</v>
      </c>
      <c r="J85" s="17">
        <v>1.9</v>
      </c>
      <c r="K85" t="s">
        <v>156</v>
      </c>
      <c r="L85" s="2">
        <v>44330</v>
      </c>
      <c r="M85" s="2">
        <v>44330</v>
      </c>
      <c r="N85" s="2">
        <v>46154</v>
      </c>
      <c r="O85" s="5" t="s">
        <v>262</v>
      </c>
      <c r="P85" s="5" t="s">
        <v>290</v>
      </c>
    </row>
    <row r="86" spans="2:16" ht="78" customHeight="1" x14ac:dyDescent="0.25">
      <c r="B86" t="s">
        <v>291</v>
      </c>
      <c r="C86">
        <v>8517620003</v>
      </c>
      <c r="D86" s="19">
        <v>368</v>
      </c>
      <c r="E86" s="5" t="s">
        <v>300</v>
      </c>
      <c r="F86" t="s">
        <v>94</v>
      </c>
      <c r="G86" s="2">
        <v>44099</v>
      </c>
      <c r="H86" s="2">
        <v>44099</v>
      </c>
      <c r="I86" s="2">
        <v>47848</v>
      </c>
      <c r="J86" s="17">
        <v>1.1000000000000001</v>
      </c>
      <c r="K86" t="s">
        <v>156</v>
      </c>
      <c r="L86" s="2">
        <v>44330</v>
      </c>
      <c r="M86" s="2">
        <v>44330</v>
      </c>
      <c r="N86" s="2">
        <v>46154</v>
      </c>
      <c r="O86" s="5" t="s">
        <v>262</v>
      </c>
      <c r="P86" s="5" t="s">
        <v>292</v>
      </c>
    </row>
    <row r="87" spans="2:16" ht="58.5" customHeight="1" x14ac:dyDescent="0.25">
      <c r="B87" t="s">
        <v>293</v>
      </c>
      <c r="C87">
        <v>8517620003</v>
      </c>
      <c r="D87" s="19">
        <v>525</v>
      </c>
      <c r="E87" s="5" t="s">
        <v>301</v>
      </c>
      <c r="F87" t="s">
        <v>94</v>
      </c>
      <c r="G87" s="2">
        <v>44099</v>
      </c>
      <c r="H87" s="2">
        <v>44099</v>
      </c>
      <c r="I87" s="2">
        <v>47848</v>
      </c>
      <c r="J87" s="17">
        <v>1.1000000000000001</v>
      </c>
      <c r="K87" t="s">
        <v>156</v>
      </c>
      <c r="L87" s="2">
        <v>44330</v>
      </c>
      <c r="M87" s="2">
        <v>44330</v>
      </c>
      <c r="N87" s="2">
        <v>46154</v>
      </c>
      <c r="O87" s="5" t="s">
        <v>262</v>
      </c>
      <c r="P87" s="5" t="s">
        <v>292</v>
      </c>
    </row>
    <row r="88" spans="2:16" ht="60" customHeight="1" x14ac:dyDescent="0.25">
      <c r="B88" t="s">
        <v>303</v>
      </c>
      <c r="C88">
        <v>8517620003</v>
      </c>
      <c r="D88" s="19">
        <v>1086</v>
      </c>
      <c r="E88" s="5" t="s">
        <v>306</v>
      </c>
      <c r="F88" t="s">
        <v>264</v>
      </c>
      <c r="G88" s="2">
        <v>44431</v>
      </c>
      <c r="H88" s="2">
        <v>44431</v>
      </c>
      <c r="I88" s="2">
        <v>48213</v>
      </c>
      <c r="J88" s="17">
        <v>4</v>
      </c>
      <c r="K88" t="s">
        <v>47</v>
      </c>
      <c r="L88" s="2">
        <v>43787</v>
      </c>
      <c r="M88" s="2">
        <v>43787</v>
      </c>
      <c r="N88" s="2">
        <v>45613</v>
      </c>
      <c r="O88" s="5" t="s">
        <v>276</v>
      </c>
      <c r="P88" s="5" t="s">
        <v>305</v>
      </c>
    </row>
    <row r="89" spans="2:16" ht="57" customHeight="1" x14ac:dyDescent="0.25">
      <c r="B89" s="29" t="s">
        <v>308</v>
      </c>
      <c r="C89">
        <v>8517620003</v>
      </c>
      <c r="E89" s="5" t="s">
        <v>309</v>
      </c>
      <c r="F89" t="s">
        <v>264</v>
      </c>
      <c r="G89" s="2">
        <v>44431</v>
      </c>
      <c r="H89" s="2">
        <v>44431</v>
      </c>
      <c r="I89" s="2">
        <v>48213</v>
      </c>
      <c r="J89" s="17">
        <v>4</v>
      </c>
      <c r="K89" t="s">
        <v>47</v>
      </c>
      <c r="L89" s="2">
        <v>43787</v>
      </c>
      <c r="M89" s="2">
        <v>43787</v>
      </c>
      <c r="N89" s="2">
        <v>45613</v>
      </c>
      <c r="O89" s="5" t="s">
        <v>276</v>
      </c>
      <c r="P89" s="5" t="s">
        <v>310</v>
      </c>
    </row>
    <row r="90" spans="2:16" x14ac:dyDescent="0.25">
      <c r="C90">
        <v>8517620003</v>
      </c>
    </row>
    <row r="91" spans="2:16" x14ac:dyDescent="0.25">
      <c r="C91">
        <v>8517620003</v>
      </c>
    </row>
    <row r="92" spans="2:16" x14ac:dyDescent="0.25">
      <c r="C92">
        <v>8517620003</v>
      </c>
    </row>
    <row r="93" spans="2:16" x14ac:dyDescent="0.25">
      <c r="C93">
        <v>8517620003</v>
      </c>
    </row>
    <row r="94" spans="2:16" x14ac:dyDescent="0.25">
      <c r="C94">
        <v>8517620003</v>
      </c>
    </row>
    <row r="95" spans="2:16" x14ac:dyDescent="0.25">
      <c r="C95">
        <v>8517620003</v>
      </c>
    </row>
    <row r="96" spans="2:16" x14ac:dyDescent="0.25">
      <c r="C96">
        <v>8517620003</v>
      </c>
    </row>
    <row r="97" spans="3:3" x14ac:dyDescent="0.25">
      <c r="C97">
        <v>8517620003</v>
      </c>
    </row>
    <row r="98" spans="3:3" x14ac:dyDescent="0.25">
      <c r="C98">
        <v>8517620003</v>
      </c>
    </row>
    <row r="99" spans="3:3" x14ac:dyDescent="0.25">
      <c r="C99">
        <v>8517620003</v>
      </c>
    </row>
    <row r="100" spans="3:3" x14ac:dyDescent="0.25">
      <c r="C100">
        <v>8517620003</v>
      </c>
    </row>
    <row r="101" spans="3:3" x14ac:dyDescent="0.25">
      <c r="C101">
        <v>8517620003</v>
      </c>
    </row>
    <row r="102" spans="3:3" x14ac:dyDescent="0.25">
      <c r="C102">
        <v>8517620003</v>
      </c>
    </row>
    <row r="103" spans="3:3" x14ac:dyDescent="0.25">
      <c r="C103">
        <v>8517620003</v>
      </c>
    </row>
    <row r="104" spans="3:3" x14ac:dyDescent="0.25">
      <c r="C104">
        <v>8517620003</v>
      </c>
    </row>
    <row r="105" spans="3:3" x14ac:dyDescent="0.25">
      <c r="C105">
        <v>8517620003</v>
      </c>
    </row>
    <row r="106" spans="3:3" x14ac:dyDescent="0.25">
      <c r="C106">
        <v>8517620003</v>
      </c>
    </row>
    <row r="107" spans="3:3" x14ac:dyDescent="0.25">
      <c r="C107">
        <v>8517620003</v>
      </c>
    </row>
    <row r="108" spans="3:3" x14ac:dyDescent="0.25">
      <c r="C108">
        <v>8517620003</v>
      </c>
    </row>
    <row r="109" spans="3:3" x14ac:dyDescent="0.25">
      <c r="C109">
        <v>8517620003</v>
      </c>
    </row>
    <row r="110" spans="3:3" x14ac:dyDescent="0.25">
      <c r="C110">
        <v>8517620003</v>
      </c>
    </row>
    <row r="111" spans="3:3" x14ac:dyDescent="0.25">
      <c r="C111">
        <v>8517620003</v>
      </c>
    </row>
    <row r="112" spans="3:3" x14ac:dyDescent="0.25">
      <c r="C112">
        <v>8517620003</v>
      </c>
    </row>
    <row r="113" spans="3:3" x14ac:dyDescent="0.25">
      <c r="C113">
        <v>8517620003</v>
      </c>
    </row>
    <row r="114" spans="3:3" x14ac:dyDescent="0.25">
      <c r="C114">
        <v>8517620003</v>
      </c>
    </row>
    <row r="115" spans="3:3" x14ac:dyDescent="0.25">
      <c r="C115">
        <v>8517620003</v>
      </c>
    </row>
    <row r="116" spans="3:3" x14ac:dyDescent="0.25">
      <c r="C116">
        <v>8517620003</v>
      </c>
    </row>
    <row r="117" spans="3:3" x14ac:dyDescent="0.25">
      <c r="C117">
        <v>8517620003</v>
      </c>
    </row>
    <row r="118" spans="3:3" x14ac:dyDescent="0.25">
      <c r="C118">
        <v>8517620003</v>
      </c>
    </row>
    <row r="119" spans="3:3" x14ac:dyDescent="0.25">
      <c r="C119">
        <v>8517620003</v>
      </c>
    </row>
    <row r="120" spans="3:3" x14ac:dyDescent="0.25">
      <c r="C120">
        <v>8517620003</v>
      </c>
    </row>
    <row r="121" spans="3:3" x14ac:dyDescent="0.25">
      <c r="C121">
        <v>8517620003</v>
      </c>
    </row>
    <row r="122" spans="3:3" x14ac:dyDescent="0.25">
      <c r="C122">
        <v>8517620003</v>
      </c>
    </row>
    <row r="123" spans="3:3" x14ac:dyDescent="0.25">
      <c r="C123">
        <v>8517620003</v>
      </c>
    </row>
    <row r="124" spans="3:3" x14ac:dyDescent="0.25">
      <c r="C124">
        <v>8517620003</v>
      </c>
    </row>
    <row r="125" spans="3:3" x14ac:dyDescent="0.25">
      <c r="C125">
        <v>8517620003</v>
      </c>
    </row>
    <row r="126" spans="3:3" x14ac:dyDescent="0.25">
      <c r="C126">
        <v>8517620003</v>
      </c>
    </row>
    <row r="127" spans="3:3" x14ac:dyDescent="0.25">
      <c r="C127">
        <v>8517620003</v>
      </c>
    </row>
    <row r="128" spans="3:3" x14ac:dyDescent="0.25">
      <c r="C128">
        <v>8517620003</v>
      </c>
    </row>
  </sheetData>
  <autoFilter ref="A1:P128" xr:uid="{91ACBE50-3008-4434-B3A8-6DA04076D335}"/>
  <phoneticPr fontId="2"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71E95-DA5E-4905-A62C-867282E9273F}">
  <dimension ref="A1"/>
  <sheetViews>
    <sheetView workbookViewId="0">
      <selection activeCell="D34" sqref="D34"/>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Sheet1</vt:lpstr>
      <vt:lpstr>Лист1</vt:lpstr>
      <vt:lpstr>Лист2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Stasy</dc:creator>
  <cp:lastModifiedBy>Stasy</cp:lastModifiedBy>
  <dcterms:created xsi:type="dcterms:W3CDTF">2015-06-05T18:17:20Z</dcterms:created>
  <dcterms:modified xsi:type="dcterms:W3CDTF">2023-01-12T08:15:09Z</dcterms:modified>
</cp:coreProperties>
</file>