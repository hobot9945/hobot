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tasy\Desktop\ООО СКИФ\"/>
    </mc:Choice>
  </mc:AlternateContent>
  <xr:revisionPtr revIDLastSave="0" documentId="13_ncr:1_{0D1AF6E9-0F4E-4652-AC87-DC1678AE9A4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Лист1" sheetId="2" r:id="rId2"/>
    <sheet name="Лист2" sheetId="3" state="hidden" r:id="rId3"/>
  </sheets>
  <definedNames>
    <definedName name="_xlnm._FilterDatabase" localSheetId="0" hidden="1">Sheet1!$A$1:$P$487</definedName>
    <definedName name="_xlnm._FilterDatabase" localSheetId="1" hidden="1">Лист1!$B$1:$P$21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0" i="1" l="1"/>
  <c r="O91" i="1"/>
  <c r="P91" i="1" s="1"/>
  <c r="O92" i="1"/>
  <c r="P92" i="1" s="1"/>
  <c r="O93" i="1"/>
  <c r="P93" i="1" s="1"/>
  <c r="O94" i="1"/>
  <c r="P94" i="1" s="1"/>
  <c r="O95" i="1"/>
  <c r="O96" i="1"/>
  <c r="P96" i="1" s="1"/>
  <c r="O97" i="1"/>
  <c r="P97" i="1" s="1"/>
  <c r="O98" i="1"/>
  <c r="P98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C15" i="1"/>
  <c r="E15" i="1"/>
  <c r="F15" i="1" s="1"/>
  <c r="O15" i="1"/>
  <c r="C16" i="1"/>
  <c r="E16" i="1"/>
  <c r="F16" i="1" s="1"/>
  <c r="O16" i="1"/>
  <c r="C17" i="1"/>
  <c r="E17" i="1"/>
  <c r="F17" i="1" s="1"/>
  <c r="O17" i="1"/>
  <c r="C18" i="1"/>
  <c r="E18" i="1"/>
  <c r="F18" i="1" s="1"/>
  <c r="O18" i="1"/>
  <c r="C19" i="1"/>
  <c r="E19" i="1"/>
  <c r="F19" i="1" s="1"/>
  <c r="O19" i="1"/>
  <c r="C20" i="1"/>
  <c r="E20" i="1"/>
  <c r="F20" i="1" s="1"/>
  <c r="O20" i="1"/>
  <c r="C21" i="1"/>
  <c r="E21" i="1"/>
  <c r="F21" i="1" s="1"/>
  <c r="O21" i="1"/>
  <c r="C22" i="1"/>
  <c r="E22" i="1"/>
  <c r="F22" i="1" s="1"/>
  <c r="O22" i="1"/>
  <c r="C23" i="1"/>
  <c r="E23" i="1"/>
  <c r="F23" i="1" s="1"/>
  <c r="O23" i="1"/>
  <c r="C24" i="1"/>
  <c r="E24" i="1"/>
  <c r="F24" i="1" s="1"/>
  <c r="O24" i="1"/>
  <c r="C25" i="1"/>
  <c r="E25" i="1"/>
  <c r="F25" i="1" s="1"/>
  <c r="O25" i="1"/>
  <c r="C26" i="1"/>
  <c r="E26" i="1"/>
  <c r="F26" i="1" s="1"/>
  <c r="O26" i="1"/>
  <c r="C27" i="1"/>
  <c r="E27" i="1"/>
  <c r="F27" i="1" s="1"/>
  <c r="O27" i="1"/>
  <c r="C28" i="1"/>
  <c r="E28" i="1"/>
  <c r="F28" i="1" s="1"/>
  <c r="O28" i="1"/>
  <c r="C29" i="1"/>
  <c r="E29" i="1"/>
  <c r="F29" i="1" s="1"/>
  <c r="O29" i="1"/>
  <c r="C30" i="1"/>
  <c r="E30" i="1"/>
  <c r="F30" i="1" s="1"/>
  <c r="O30" i="1"/>
  <c r="C31" i="1"/>
  <c r="E31" i="1"/>
  <c r="F31" i="1" s="1"/>
  <c r="O31" i="1"/>
  <c r="C32" i="1"/>
  <c r="E32" i="1"/>
  <c r="F32" i="1" s="1"/>
  <c r="O32" i="1"/>
  <c r="C33" i="1"/>
  <c r="E33" i="1"/>
  <c r="F33" i="1" s="1"/>
  <c r="O33" i="1"/>
  <c r="C34" i="1"/>
  <c r="E34" i="1"/>
  <c r="F34" i="1" s="1"/>
  <c r="O34" i="1"/>
  <c r="C35" i="1"/>
  <c r="E35" i="1"/>
  <c r="F35" i="1" s="1"/>
  <c r="O35" i="1"/>
  <c r="C36" i="1"/>
  <c r="E36" i="1"/>
  <c r="F36" i="1" s="1"/>
  <c r="O36" i="1"/>
  <c r="C37" i="1"/>
  <c r="E37" i="1"/>
  <c r="F37" i="1" s="1"/>
  <c r="O37" i="1"/>
  <c r="C38" i="1"/>
  <c r="E38" i="1"/>
  <c r="F38" i="1" s="1"/>
  <c r="O38" i="1"/>
  <c r="C39" i="1"/>
  <c r="E39" i="1"/>
  <c r="F39" i="1" s="1"/>
  <c r="O39" i="1"/>
  <c r="C40" i="1"/>
  <c r="E40" i="1"/>
  <c r="F40" i="1" s="1"/>
  <c r="O40" i="1"/>
  <c r="C41" i="1"/>
  <c r="E41" i="1"/>
  <c r="F41" i="1" s="1"/>
  <c r="G41" i="1"/>
  <c r="O41" i="1"/>
  <c r="C42" i="1"/>
  <c r="E42" i="1"/>
  <c r="F42" i="1" s="1"/>
  <c r="G42" i="1"/>
  <c r="O42" i="1"/>
  <c r="C43" i="1"/>
  <c r="E43" i="1"/>
  <c r="F43" i="1" s="1"/>
  <c r="G43" i="1"/>
  <c r="O43" i="1"/>
  <c r="C44" i="1"/>
  <c r="E44" i="1"/>
  <c r="F44" i="1" s="1"/>
  <c r="G44" i="1"/>
  <c r="O44" i="1"/>
  <c r="C45" i="1"/>
  <c r="E45" i="1"/>
  <c r="F45" i="1" s="1"/>
  <c r="G45" i="1"/>
  <c r="O45" i="1"/>
  <c r="C46" i="1"/>
  <c r="E46" i="1"/>
  <c r="F46" i="1" s="1"/>
  <c r="G46" i="1"/>
  <c r="O46" i="1"/>
  <c r="C47" i="1"/>
  <c r="E47" i="1"/>
  <c r="F47" i="1" s="1"/>
  <c r="G47" i="1"/>
  <c r="O47" i="1"/>
  <c r="C48" i="1"/>
  <c r="E48" i="1"/>
  <c r="F48" i="1" s="1"/>
  <c r="G48" i="1"/>
  <c r="O48" i="1"/>
  <c r="C49" i="1"/>
  <c r="E49" i="1"/>
  <c r="F49" i="1" s="1"/>
  <c r="G49" i="1"/>
  <c r="O49" i="1"/>
  <c r="C50" i="1"/>
  <c r="E50" i="1"/>
  <c r="F50" i="1" s="1"/>
  <c r="G50" i="1"/>
  <c r="O50" i="1"/>
  <c r="C51" i="1"/>
  <c r="E51" i="1"/>
  <c r="F51" i="1" s="1"/>
  <c r="G51" i="1"/>
  <c r="O51" i="1"/>
  <c r="C52" i="1"/>
  <c r="E52" i="1"/>
  <c r="F52" i="1" s="1"/>
  <c r="G52" i="1"/>
  <c r="O52" i="1"/>
  <c r="C53" i="1"/>
  <c r="E53" i="1"/>
  <c r="F53" i="1" s="1"/>
  <c r="G53" i="1"/>
  <c r="O53" i="1"/>
  <c r="C54" i="1"/>
  <c r="E54" i="1"/>
  <c r="F54" i="1" s="1"/>
  <c r="G54" i="1"/>
  <c r="O54" i="1"/>
  <c r="C55" i="1"/>
  <c r="E55" i="1"/>
  <c r="F55" i="1" s="1"/>
  <c r="G55" i="1"/>
  <c r="O55" i="1"/>
  <c r="C56" i="1"/>
  <c r="E56" i="1"/>
  <c r="F56" i="1" s="1"/>
  <c r="G56" i="1"/>
  <c r="O56" i="1"/>
  <c r="C57" i="1"/>
  <c r="E57" i="1"/>
  <c r="F57" i="1" s="1"/>
  <c r="G57" i="1"/>
  <c r="O57" i="1"/>
  <c r="C58" i="1"/>
  <c r="E58" i="1"/>
  <c r="F58" i="1" s="1"/>
  <c r="G58" i="1"/>
  <c r="O58" i="1"/>
  <c r="C59" i="1"/>
  <c r="E59" i="1"/>
  <c r="F59" i="1" s="1"/>
  <c r="G59" i="1"/>
  <c r="O59" i="1"/>
  <c r="C60" i="1"/>
  <c r="E60" i="1"/>
  <c r="F60" i="1" s="1"/>
  <c r="G60" i="1"/>
  <c r="O60" i="1"/>
  <c r="C61" i="1"/>
  <c r="E61" i="1"/>
  <c r="F61" i="1" s="1"/>
  <c r="G61" i="1"/>
  <c r="O61" i="1"/>
  <c r="C62" i="1"/>
  <c r="E62" i="1"/>
  <c r="F62" i="1" s="1"/>
  <c r="G62" i="1"/>
  <c r="O62" i="1"/>
  <c r="C63" i="1"/>
  <c r="E63" i="1"/>
  <c r="F63" i="1" s="1"/>
  <c r="G63" i="1"/>
  <c r="O63" i="1"/>
  <c r="C64" i="1"/>
  <c r="E64" i="1"/>
  <c r="F64" i="1" s="1"/>
  <c r="G64" i="1"/>
  <c r="O64" i="1"/>
  <c r="C65" i="1"/>
  <c r="E65" i="1"/>
  <c r="F65" i="1" s="1"/>
  <c r="G65" i="1"/>
  <c r="O65" i="1"/>
  <c r="C66" i="1"/>
  <c r="E66" i="1"/>
  <c r="F66" i="1" s="1"/>
  <c r="G66" i="1"/>
  <c r="O66" i="1"/>
  <c r="B67" i="1"/>
  <c r="C67" i="1"/>
  <c r="E67" i="1"/>
  <c r="F67" i="1" s="1"/>
  <c r="G67" i="1"/>
  <c r="O67" i="1"/>
  <c r="B68" i="1"/>
  <c r="C68" i="1"/>
  <c r="E68" i="1"/>
  <c r="F68" i="1" s="1"/>
  <c r="G68" i="1"/>
  <c r="O68" i="1"/>
  <c r="B69" i="1"/>
  <c r="C69" i="1"/>
  <c r="E69" i="1"/>
  <c r="F69" i="1" s="1"/>
  <c r="G69" i="1"/>
  <c r="O69" i="1"/>
  <c r="B70" i="1"/>
  <c r="C70" i="1"/>
  <c r="E70" i="1"/>
  <c r="F70" i="1" s="1"/>
  <c r="G70" i="1"/>
  <c r="O70" i="1"/>
  <c r="B71" i="1"/>
  <c r="C71" i="1"/>
  <c r="E71" i="1"/>
  <c r="F71" i="1" s="1"/>
  <c r="G71" i="1"/>
  <c r="O71" i="1"/>
  <c r="B72" i="1"/>
  <c r="C72" i="1"/>
  <c r="E72" i="1"/>
  <c r="F72" i="1" s="1"/>
  <c r="G72" i="1"/>
  <c r="O72" i="1"/>
  <c r="B73" i="1"/>
  <c r="C73" i="1"/>
  <c r="E73" i="1"/>
  <c r="F73" i="1" s="1"/>
  <c r="G73" i="1"/>
  <c r="O73" i="1"/>
  <c r="B74" i="1"/>
  <c r="C74" i="1"/>
  <c r="E74" i="1"/>
  <c r="F74" i="1" s="1"/>
  <c r="G74" i="1"/>
  <c r="O74" i="1"/>
  <c r="B75" i="1"/>
  <c r="C75" i="1"/>
  <c r="E75" i="1"/>
  <c r="F75" i="1" s="1"/>
  <c r="G75" i="1"/>
  <c r="O75" i="1"/>
  <c r="B76" i="1"/>
  <c r="C76" i="1"/>
  <c r="E76" i="1"/>
  <c r="F76" i="1" s="1"/>
  <c r="G76" i="1"/>
  <c r="O76" i="1"/>
  <c r="B77" i="1"/>
  <c r="C77" i="1"/>
  <c r="E77" i="1"/>
  <c r="F77" i="1" s="1"/>
  <c r="G77" i="1"/>
  <c r="O77" i="1"/>
  <c r="B78" i="1"/>
  <c r="C78" i="1"/>
  <c r="E78" i="1"/>
  <c r="F78" i="1" s="1"/>
  <c r="G78" i="1"/>
  <c r="O78" i="1"/>
  <c r="B79" i="1"/>
  <c r="C79" i="1"/>
  <c r="E79" i="1"/>
  <c r="F79" i="1" s="1"/>
  <c r="G79" i="1"/>
  <c r="O79" i="1"/>
  <c r="B80" i="1"/>
  <c r="C80" i="1"/>
  <c r="E80" i="1"/>
  <c r="F80" i="1" s="1"/>
  <c r="G80" i="1"/>
  <c r="O80" i="1"/>
  <c r="B81" i="1"/>
  <c r="C81" i="1"/>
  <c r="E81" i="1"/>
  <c r="F81" i="1" s="1"/>
  <c r="G81" i="1"/>
  <c r="O81" i="1"/>
  <c r="B82" i="1"/>
  <c r="C82" i="1"/>
  <c r="E82" i="1"/>
  <c r="F82" i="1" s="1"/>
  <c r="G82" i="1"/>
  <c r="O82" i="1"/>
  <c r="B83" i="1"/>
  <c r="C83" i="1"/>
  <c r="E83" i="1"/>
  <c r="F83" i="1" s="1"/>
  <c r="G83" i="1"/>
  <c r="O83" i="1"/>
  <c r="B84" i="1"/>
  <c r="C84" i="1"/>
  <c r="E84" i="1"/>
  <c r="F84" i="1" s="1"/>
  <c r="G84" i="1"/>
  <c r="O84" i="1"/>
  <c r="B85" i="1"/>
  <c r="C85" i="1"/>
  <c r="E85" i="1"/>
  <c r="F85" i="1" s="1"/>
  <c r="G85" i="1"/>
  <c r="O85" i="1"/>
  <c r="O86" i="1"/>
  <c r="O87" i="1"/>
  <c r="O88" i="1"/>
  <c r="O89" i="1"/>
  <c r="B88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B86" i="1"/>
  <c r="B87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P90" i="1"/>
  <c r="P95" i="1"/>
  <c r="P99" i="1"/>
  <c r="P100" i="1"/>
  <c r="P101" i="1"/>
  <c r="P102" i="1"/>
  <c r="P103" i="1"/>
  <c r="P104" i="1"/>
  <c r="P105" i="1"/>
  <c r="P106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P107" i="1" l="1"/>
  <c r="P108" i="1"/>
  <c r="P109" i="1"/>
  <c r="P111" i="1"/>
  <c r="P112" i="1"/>
  <c r="P113" i="1"/>
  <c r="P114" i="1"/>
  <c r="P115" i="1"/>
  <c r="P116" i="1"/>
  <c r="P117" i="1"/>
  <c r="P119" i="1"/>
  <c r="P120" i="1"/>
  <c r="P122" i="1"/>
  <c r="P123" i="1"/>
  <c r="P124" i="1"/>
  <c r="P125" i="1"/>
  <c r="P127" i="1"/>
  <c r="P128" i="1"/>
  <c r="P129" i="1"/>
  <c r="P130" i="1"/>
  <c r="P131" i="1"/>
  <c r="P132" i="1"/>
  <c r="P133" i="1"/>
  <c r="P135" i="1"/>
  <c r="P136" i="1"/>
  <c r="P137" i="1"/>
  <c r="P139" i="1"/>
  <c r="P140" i="1"/>
  <c r="P141" i="1"/>
  <c r="P143" i="1"/>
  <c r="P144" i="1"/>
  <c r="P146" i="1"/>
  <c r="O147" i="1"/>
  <c r="P147" i="1" s="1"/>
  <c r="O148" i="1"/>
  <c r="P148" i="1" s="1"/>
  <c r="O149" i="1"/>
  <c r="P149" i="1" s="1"/>
  <c r="O151" i="1"/>
  <c r="P151" i="1" s="1"/>
  <c r="O152" i="1"/>
  <c r="P152" i="1" s="1"/>
  <c r="O154" i="1"/>
  <c r="P154" i="1" s="1"/>
  <c r="O155" i="1"/>
  <c r="P155" i="1" s="1"/>
  <c r="O156" i="1"/>
  <c r="P156" i="1" s="1"/>
  <c r="O157" i="1"/>
  <c r="P157" i="1" s="1"/>
  <c r="O159" i="1"/>
  <c r="P159" i="1" s="1"/>
  <c r="O160" i="1"/>
  <c r="P160" i="1" s="1"/>
  <c r="O162" i="1"/>
  <c r="P162" i="1" s="1"/>
  <c r="O163" i="1"/>
  <c r="P163" i="1" s="1"/>
  <c r="O164" i="1"/>
  <c r="P164" i="1" s="1"/>
  <c r="O165" i="1"/>
  <c r="P165" i="1" s="1"/>
  <c r="O167" i="1"/>
  <c r="P167" i="1" s="1"/>
  <c r="O168" i="1"/>
  <c r="P168" i="1" s="1"/>
  <c r="O170" i="1"/>
  <c r="P170" i="1" s="1"/>
  <c r="O171" i="1"/>
  <c r="P171" i="1" s="1"/>
  <c r="O172" i="1"/>
  <c r="P172" i="1" s="1"/>
  <c r="O173" i="1"/>
  <c r="P173" i="1" s="1"/>
  <c r="O175" i="1"/>
  <c r="P175" i="1" s="1"/>
  <c r="O176" i="1"/>
  <c r="P176" i="1" s="1"/>
  <c r="O178" i="1"/>
  <c r="P178" i="1" s="1"/>
  <c r="P121" i="1"/>
  <c r="P110" i="1"/>
  <c r="P118" i="1"/>
  <c r="P126" i="1"/>
  <c r="P134" i="1"/>
  <c r="P138" i="1"/>
  <c r="P142" i="1"/>
  <c r="P145" i="1"/>
  <c r="O150" i="1"/>
  <c r="P150" i="1" s="1"/>
  <c r="O153" i="1"/>
  <c r="P153" i="1" s="1"/>
  <c r="O158" i="1"/>
  <c r="P158" i="1" s="1"/>
  <c r="O161" i="1"/>
  <c r="P161" i="1" s="1"/>
  <c r="O166" i="1"/>
  <c r="P166" i="1" s="1"/>
  <c r="O169" i="1"/>
  <c r="P169" i="1" s="1"/>
  <c r="O174" i="1"/>
  <c r="P174" i="1" s="1"/>
  <c r="O177" i="1"/>
  <c r="P177" i="1" s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O179" i="1" l="1"/>
  <c r="P179" i="1" s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</calcChain>
</file>

<file path=xl/sharedStrings.xml><?xml version="1.0" encoding="utf-8"?>
<sst xmlns="http://schemas.openxmlformats.org/spreadsheetml/2006/main" count="1693" uniqueCount="85">
  <si>
    <t>КОД ТН ВЭД</t>
  </si>
  <si>
    <t>Модель</t>
  </si>
  <si>
    <t>количество</t>
  </si>
  <si>
    <t>цена за шт</t>
  </si>
  <si>
    <t>стоимость</t>
  </si>
  <si>
    <t xml:space="preserve">наименование </t>
  </si>
  <si>
    <t>Марка</t>
  </si>
  <si>
    <t>отсутствует</t>
  </si>
  <si>
    <t>ед. измерения</t>
  </si>
  <si>
    <t>шт</t>
  </si>
  <si>
    <t>код упаковки грузового места</t>
  </si>
  <si>
    <t>CT</t>
  </si>
  <si>
    <t>производитель</t>
  </si>
  <si>
    <t>БРУТТО общий</t>
  </si>
  <si>
    <t>Код ТН ВЭД</t>
  </si>
  <si>
    <t>Стоимость за единицу</t>
  </si>
  <si>
    <t>Номер ДС</t>
  </si>
  <si>
    <t>дата ДС</t>
  </si>
  <si>
    <t>дата  начала действия ДС</t>
  </si>
  <si>
    <t>дата окончания действия ДС</t>
  </si>
  <si>
    <t>Прочее</t>
  </si>
  <si>
    <t>общий вес нетто по упаковочному</t>
  </si>
  <si>
    <t>Наименование</t>
  </si>
  <si>
    <t>ПРОЧИЕ ЧАСТИ ОСВЕТИТЕЛЬНОГО ОБОРУДОВАНИЯ, ИЗ ПЛАСТМАССЫ:
РАССЕИВАТЕЛЬ СВЕТА ИЗ ПОЛИКАРБОНАТА (ИСПОЛЬЗУЕТСЯ КАК
КОМПЛЕКТУЮЩЕЕ ДЛЯ ИЗГОТОВЛЕНИЯ СВЕТОДИОДНОГО ОСВЕТИТЕЛЬНОГО
ОБОРУДОВАНИЯ). НОВЫЕ.</t>
  </si>
  <si>
    <t>ИЗДЕЛИЯ ИЗ ПЛАСТМАСС (ПОЛУЧЕННОЕ ПУТЕМ ЛИТЬЯ): ПРОКЛАДКА
УПЛОТНИТЕЛЬНАЯ ИЗ СИЛИКОНА (ИСПОЛЬЗУЕТСЯ КАК КОМПЛЕКТУЮЩЕЕ
ДЛЯ ИЗГОТОВЛЕНИЯ</t>
  </si>
  <si>
    <t>СВЕТОДИОДНАЯ ПЛАТА L-26-2835-80 С 26
СВЕТОДИОДАМИ. ПОСТОЯННЫЙ ТОК: 11
ВОЛЬТ - 600 ШТ. ЦЕНА 0,74 ЕВРО/ШТ.
ГАБАРИТНЫЕ РАЗМЕРЫ, ММ: 470Х12Х1 В 1
КАРТОННОЙ КОРОБКЕ.</t>
  </si>
  <si>
    <t>СВЕТОДИОДНАЯ ПЛАТА НА АЛЮМИНИЕВОЙ ОСНОВЕ СО СВЕТОДИОДАМИ,
(ИСПОЛЬЗУЕТСЯ КАК КОМПЛЕКТУЮЩЕЕ ДЛЯ ИЗГОТОВЛЕНИЯ
СВЕТОДИОДНОГО ОСВЕТИТЕЛЬНОГО ОБОРУДОВАНИЯ). ОБЛАСТЬ ПРИМЕНЕНИЯ
ПРОМЫШЛЕННЫЕ ПОМЕЩЕНИЯ,УЛИЧНЫЕ ПЛОЩАДКИ. НЕ ЛОМ. НЕ ОТХОДЫ. НЕ ЯВЛЯЕТСЯ ГОТОВЫМ И САМОСТОЯТЕЛЬНЫМ ИЗДЕЛИЕМ. НЕ
ЯВЛЯЕТСЯ ЛАМПОЙ. ТИП ПОЛУПРОВОДНИКА: P-N. ОБЩЕПРИНЯТОЕ НАИМЕНОВАНИЕ СВЕТОДИОДЫ.</t>
  </si>
  <si>
    <t>LO-28-5050</t>
  </si>
  <si>
    <t>L-26-2835-80</t>
  </si>
  <si>
    <t>L-26-2835-90</t>
  </si>
  <si>
    <t>LO-28-90</t>
  </si>
  <si>
    <t>ПРОКЛАДКА wg 28</t>
  </si>
  <si>
    <t>LO-28-15070</t>
  </si>
  <si>
    <t>ПРОКЛАДКА. 
ГАБАРИТНЫЕ РАЗМЕРЫ, ММ: 170Х120Х3. В 2
КАРТОННЫХ КОРОБКАХ.</t>
  </si>
  <si>
    <t xml:space="preserve">РАССЕИВАТЕЛЬ СВЕТА ИЗ
ПОЛИКАРБОНАТА LO-28-90, 336 ШТ. ЦЕНА 0,54
ЕВРО/ШТ. ГАБАРИТНЫЕ РАЗМЕРЫ, ММ:
219Х54Х8 </t>
  </si>
  <si>
    <t>МОДЕЛЬ ВТН 0,5 (500 ШТ. В 1 УПАКОВКЕ).
292 УПАКОВОК. ЦЕНА 13,75
ДОЛЛ.США/УПАКОВКА. ГАБАРИТНЫЕ
РАЗМЕРЫ, ММ: 3,0Х26,0. ТОЛЩИНА, ММ: 0.5. В
4 КАРТОННЫХ КОРОБКАХ.</t>
  </si>
  <si>
    <t xml:space="preserve"> ВТН 0,5</t>
  </si>
  <si>
    <t>ВТН 1,25</t>
  </si>
  <si>
    <t>МОДЕЛЬ ВТН 1,25 (500 ШТ. В 1 УПАКОВКЕ).
60 УПАКОВОК. ЦЕНА 16,50
ДОЛЛ.США/УПАКОВКА. ГАБАРИТНЫЕ
РАЗМЕРЫ, ММ: 4,8Х36,5. ТОЛЩИНА, ММ: 0.8. В
2 КАРТОННЫХ КОРОБКАХ.</t>
  </si>
  <si>
    <t>СОЕДИНИТЕЛЬ СТЫКОВОЙ ТЕРМОУСАЖИВАЕМЫЙ ИЗОЛЯЦИОННЫЙ.
МАТЕРИАЛ: КОРПУС ИЗ ТЕРМОУСАДОЧНОГО МАТЕРИАЛА С МЕДНЫМ
КОНТАКТОМ. НАЗНАЧЕНИЕ И ОБЛАСТЬ ПРИМЕНЕНИЯ: СОЕДИНИТЕЛЬ, ОБЕСПЕЧИВАЕТ
СНЯТИЕ НАПРЯЖЕНИЯ И ЗАЩИТУ ОТ ВИБРАЦИИ В ЗАЩИЩЕННЫХ УСЛОВИЯХ,
ИЗОЛИРУЕТ И ЗАЩИЩАЕТ ЭЛЕКТРОННЫЕ СОЕДИНЕНИЯ. КОМПЛЕКТУЮЩИЕ ДЛЯ
ПРОИЗВОДСТВА СВЕТОДИОДНОГО ОСВЕТИТЕЛЬНОГО ОБОРУДОВАНИЯ. НЕ ЛОМ
ЭЛЕКТРООБОРУДОВАНИЯ. РАССЧИТАН НА НАПРЯЖЕНИЕ 12 В.</t>
  </si>
  <si>
    <t>РАССЕИВАТЕЛЬ СВЕТА ИЗ
ПОЛИКАРБОНАТА LO-28-15070. ГАБАРИТНЫЕ РАЗМЕРЫ, ММ:
219Х54Х8</t>
  </si>
  <si>
    <t xml:space="preserve">СВЕТОДИОДНАЯ ПЛАТА L-26-2835-90 С 26
СВЕТОДИОДАМИ. ПОСТОЯННЫЙ ТОК: 11
ВОЛЬТ - 600 ШТ. ЦЕНА 0,84 ЕВРО/ШТ.
ГАБАРИТНЫЕ РАЗМЕРЫ, ММ: 470Х12Х1 </t>
  </si>
  <si>
    <t>LO-28-5050/2</t>
  </si>
  <si>
    <t>СВЕТОДИОДНАЯ ПЛАТА LO-28-5050/2 С 28
СВЕТОДИОДАМИ. ПОСТОЯННЫЙ ТОК: 48
ВОЛЬТ - 31000 ШТ. ЦЕНА 4,58 ДОЛЛ.США/ШТ.
ГАБАРИТНЫЕ РАЗМЕРЫ, ММ: 219Х54Х2</t>
  </si>
  <si>
    <t xml:space="preserve">СВЕТОДИОДНАЯ ПЛАТА LO-28-5050 С 28
СВЕТОДИОДАМИ. ПОСТОЯННЫЙ ТОК: 67
ВОЛЬТ - 3060 ШТ. 
ГАБАРИТНЫЕ РАЗМЕРЫ, ММ: 219Х54Х2 </t>
  </si>
  <si>
    <t>1-ЧАСТЬ СВЕТОДИОДНОГО ОСВЕТИТЕЛЬНОГО ОБОРУДОВАНИЯ: КОРПУС ИЗ
АЛЮМИНИЯ. ОБЛАСТЬ ПРИМЕНЕНИЯ – ПРОМЫШЛЕННЫЕ ПОМЕЩЕНИЯ,
УЛИЧНЫЕ ПЛОШАДКИ. НЕ ДЛЯ ИСПОЛЬЗОВАНИЯ В ТРАНСПОРТНЫХ СРЕДСТВАХ, НЕ
ДЛЯ МЕДИЦИНСКОГО ИСПОЛЬЗОВАНИЯ.</t>
  </si>
  <si>
    <t>M1</t>
  </si>
  <si>
    <t>M2</t>
  </si>
  <si>
    <t>КОРПУС «ШУБОКС»: С ОДНИМ МОДУЛЕМ. 26
ШТ. ЦЕНА 33,05 ДОЛЛ.США/ШТ. ГАБАРИТНЫЕ
РАЗМЕРЫ, ММ: 481Х312Х84. В 26 КАРТОННЫХ
КОРОБКАХ.</t>
  </si>
  <si>
    <t>КОРПУС «ШУБОКС»: С ДВУМЯ МОДУЛЯМИ.
12 ШТ. ЦЕНА 43,368 ДОЛЛ.США/ШТ.
ГАБАРИТНЫЕ РАЗМЕРЫ, ММ: 651Х312Х84. В
12 КАРТОННЫХ КОРОБКАХ.</t>
  </si>
  <si>
    <t>СВЕТОДИОДНАЯ ПЛАТА L-42-5050 С 42
СВЕТОДИОДАМИ. ПОСТОЯННЫЙ ТОК: 67
ВОЛЬТ - 1100 ШТ. ЦЕНА 5,85 ЕВРО/ШТ.
ГАБАРИТНЫЕ РАЗМЕРЫ, ММ: 252Х120Х2</t>
  </si>
  <si>
    <t>L-42-5050</t>
  </si>
  <si>
    <t>СВЕТОДИОДНАЯ ПЛАТА НА АЛЮМИНИЕВОЙ ОСНОВЕ СО СВЕТОДИОДАМИ,   
(ИСПОЛЬЗУЕТСЯ КАК КОМПЛЕКТУЮЩЕЕ ДЛЯ ИЗГОТОВЛЕНИЯ
СВЕТОДИОДНОГО ОСВЕТИТЕЛЬНОГО ОБОРУДОВАНИЯ). ОБЛАСТЬ ПРИМЕНЕНИЯ
ПРОМЫШЛЕННЫЕ ПОМЕЩЕНИЯ,УЛИЧНЫЕ ПЛОЩАДКИ. НЕ ЛОМ. НЕ ОТХОДЫ. НЕ ЯВЛЯЕТСЯ ГОТОВЫМ И САМОСТОЯТЕЛЬНЫМ ИЗДЕЛИЕМ. НЕ
ЯВЛЯЕТСЯ ЛАМПОЙ. ТИП ПОЛУПРОВОДНИКА: P-N. ОБЩЕПРИНЯТОЕ НАИМЕНОВАНИЕ СВЕТОДИОДЫ.</t>
  </si>
  <si>
    <t>Артикул</t>
  </si>
  <si>
    <t>Номер СС</t>
  </si>
  <si>
    <t>дата СС</t>
  </si>
  <si>
    <t>дата  начала действия СС</t>
  </si>
  <si>
    <t>дата окончания действия СС</t>
  </si>
  <si>
    <t>Товарный знак</t>
  </si>
  <si>
    <t>Тов знак</t>
  </si>
  <si>
    <t>количество мест</t>
  </si>
  <si>
    <t>Китай</t>
  </si>
  <si>
    <t>L-26-2835-79</t>
  </si>
  <si>
    <t>СВЕТОДИОДНАЯ ПЛАТА BOARD, 26PCS 2835 
LED, 2S13P С 26 СВЕТОДИОДАМИ. 
ПОСТОЯННЫЙ ТОК: 18 ВОЛЬТ. ТЕМПЕРАТУРА 
СВЕЧЕНИЯ: 4000K - 6640 ШТ. ЦЕНА 0,89 
ДОЛЛ.США/ШТ. ГАБАРИТНЫЕ РАЗМЕРЫ, ММ: 
470Х14Х1. В 6 КАРТОННЫХ КОРОБКАХ.</t>
  </si>
  <si>
    <t xml:space="preserve">Отсутствует </t>
  </si>
  <si>
    <t xml:space="preserve">Вес изделия за единицу </t>
  </si>
  <si>
    <t>BOARD, 26PCS 2835 LED, 2S13P</t>
  </si>
  <si>
    <t>М3</t>
  </si>
  <si>
    <t>ВИНТЫ САМОНАРЕЗАЮЩИЕ ИЗ
КОРРОЗИОННОСТОЙКОЙ СТАЛИ С
ЦИНКОВЫМ ПОКРЫТИЕМ,
СНАБЖЕННЫЕ РЕЗЬБОЙ, 100000 ШТ.
ЦЕНА 0,004 ДОЛЛ.США/ШТ В 2
КАРТОННЫХ КОРОБКАХ.</t>
  </si>
  <si>
    <t>ВИНТ DIN 7500 С TORX РЕЗЬБОВЫДАВЛИВАЮЩИЙ. ГОЛОВКА С
ШЕСТИГРАННЫМ ШЛИЦЕМ. ВИНТ ИЗГОТОВЛЕН ИЗ НЕРЖАВЕЮЩЕЙ
СТАЛИ С ОЦИНКОВКОЙ. ПРЕДЕЛ ПРОЧНОСТИ НА РАСТЯЖЕНИЕ 590 МПА.
ВИД ГОЛОВКИ-ЦИЛИНДРИЧЕСКАЯ С УГЛУБЛЕНИЕМ ПОД КЛЮЧ. ОБЛАСТЬ
ПРИМЕНЕНИЯ – ИСПОЛЬЗУЕТСЯ КАК КОМПЛЕКТУЮЩЕЕ ДЛЯ
ПРОИЗВОДСТВА СВЕТОДИОДНОГО ОСВЕТИТЕЛЬНОГО ОБОРУДОВАНИЯ. С
ПЛОСКИМ КОНЦОМ. ТОЛЩИНА СТЕРЖНЯ 2.75 ММ.</t>
  </si>
  <si>
    <t>LO-26-2835-90-14</t>
  </si>
  <si>
    <t>СВЕТОДИОДНАЯ ПЛАТА L-26-2835-90-14 С 26
СВЕТОДИОДАМИ. ПОСТОЯННЫЙ ТОК: 11
ВОЛЬТ.
ГАБАРИТНЫЕ РАЗМЕРЫ, ММ: 470Х14Х1 В 13
КАРТОННЫХ КОРОБКАХ.</t>
  </si>
  <si>
    <t>СВЕТОДИОДНАЯ ПЛАТА НА АЛЮМИНИЕВОЙ ОСНОВЕ СО СВЕТОДИОДАМИ,
(ИСПОЛЬЗУЕТСЯ КАК КОМПЛЕКТУЮЩЕЕ ДЛЯ ИЗГОТОВЛЕНИЯ
СВЕТОДИОДНОГО ОСВЕТИТЕЛЬНОГО ОБОРУДОВАНИЯ). ОБЛАСТЬ ПРИМЕНЕНИЯ
ПРОМЫШЛЕННЫЕ ПОМЕЩЕНИЯ, УЛИЧНЫЕ ПЛОЩАДКИ. НЕ ЛОМ. НЕ ОТХОДЫ. НЕ ЯВЛЯЕТСЯ ГОТОВЫМ И САМОСТОЯТЕЛЬНЫМ ИЗДЕЛИЕМ. НЕ
ЯВЛЯЕТСЯ ЛАМПОЙ. ТИП ПОЛУПРОВОДНИКА: P-N. ОБЩЕПРИНЯТОЕ НАИМЕНОВАНИЕ СВЕТОДИОДЫ.</t>
  </si>
  <si>
    <t>LO-28-5050 RED</t>
  </si>
  <si>
    <t>СВЕТОДИОДНАЯ ПЛАТА LO-28-5050 С 28
СВЕТОДИОДАМИ. ПОСТОЯННЫЙ ТОК: 67
ВОЛЬТ - 3060 ШТ. 
ГАБАРИТНЫЕ РАЗМЕРЫ, ММ: 219Х54Х3</t>
  </si>
  <si>
    <t>LO-28-5050 GREEN</t>
  </si>
  <si>
    <t>СВЕТОДИОДНАЯ ПЛАТА LO-28-5050 С 28
СВЕТОДИОДАМИ. ПОСТОЯННЫЙ ТОК: 67
ВОЛЬТ - 3060 ШТ. 
ГАБАРИТНЫЕ РАЗМЕРЫ, ММ: 219Х54Х4</t>
  </si>
  <si>
    <t>LO-28-5050 BLUE</t>
  </si>
  <si>
    <t>1</t>
  </si>
  <si>
    <t xml:space="preserve">SHANGHAI JINGPUMECHANICAL &amp; ELECTRICAL TECHNOLOGY CO.,LTD. 
</t>
  </si>
  <si>
    <t>страна происхождения</t>
  </si>
  <si>
    <t xml:space="preserve">КИВ-125 </t>
  </si>
  <si>
    <t>КИВ-125 -клапан инфильтрации воздуха</t>
  </si>
  <si>
    <t>Ningbo ZENTEC Air Conditioning &amp; Refrigeration Co., Ltd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</si>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</sst>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6" formatCode="0.000000"/>
    <numFmt numFmtId="167" formatCode="[$€-2]\ #,##0.00"/>
    <numFmt numFmtId="172" formatCode="[$¥-478]#,##0.00"/>
  </numFmts>
  <fonts count="7" x14ac:knownFonts="1">
    <font>
      <sz val="11"/>
      <color theme="1"/>
      <name val="Calibri"/>
      <family val="2"/>
      <scheme val="minor"/>
    </font>
    <font>
      <sz val="11"/>
      <color rgb="FF333333"/>
      <name val="Tahoma"/>
      <family val="2"/>
      <charset val="204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333333"/>
      <name val="Tahoma"/>
      <family val="2"/>
      <charset val="204"/>
    </font>
    <font>
      <sz val="16"/>
      <color theme="1"/>
      <name val="Calibri"/>
      <family val="2"/>
      <scheme val="minor"/>
    </font>
    <font>
      <sz val="13.5"/>
      <color rgb="FF001D35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2" fontId="1" fillId="0" borderId="0" xfId="0" applyNumberFormat="1" applyFont="1"/>
    <xf numFmtId="14" fontId="0" fillId="0" borderId="0" xfId="0" applyNumberFormat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 wrapText="1"/>
    </xf>
    <xf numFmtId="0" fontId="0" fillId="2" borderId="0" xfId="0" applyFill="1"/>
    <xf numFmtId="164" fontId="0" fillId="0" borderId="0" xfId="0" applyNumberFormat="1"/>
    <xf numFmtId="0" fontId="5" fillId="2" borderId="0" xfId="0" applyFont="1" applyFill="1" applyAlignment="1">
      <alignment vertical="center" wrapText="1"/>
    </xf>
    <xf numFmtId="164" fontId="5" fillId="2" borderId="0" xfId="0" applyNumberFormat="1" applyFont="1" applyFill="1" applyAlignment="1">
      <alignment vertical="center" wrapText="1"/>
    </xf>
    <xf numFmtId="14" fontId="5" fillId="2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14" fontId="0" fillId="0" borderId="0" xfId="0" applyNumberFormat="1" applyAlignment="1">
      <alignment wrapText="1"/>
    </xf>
    <xf numFmtId="3" fontId="0" fillId="0" borderId="0" xfId="0" applyNumberFormat="1"/>
    <xf numFmtId="166" fontId="5" fillId="2" borderId="0" xfId="0" applyNumberFormat="1" applyFont="1" applyFill="1" applyAlignment="1">
      <alignment vertical="center" wrapText="1"/>
    </xf>
    <xf numFmtId="166" fontId="0" fillId="0" borderId="0" xfId="0" applyNumberFormat="1"/>
    <xf numFmtId="49" fontId="3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/>
    <xf numFmtId="167" fontId="0" fillId="0" borderId="0" xfId="0" applyNumberFormat="1"/>
    <xf numFmtId="0" fontId="6" fillId="0" borderId="0" xfId="0" applyFont="1"/>
    <xf numFmtId="172" fontId="3" fillId="2" borderId="0" xfId="0" applyNumberFormat="1" applyFont="1" applyFill="1" applyAlignment="1">
      <alignment horizontal="center" vertical="center"/>
    </xf>
    <xf numFmtId="172" fontId="0" fillId="0" borderId="0" xfId="0" applyNumberFormat="1"/>
    <xf numFmtId="172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9"/>
  <sheetViews>
    <sheetView tabSelected="1" workbookViewId="0">
      <pane xSplit="2" topLeftCell="C1" activePane="topRight" state="frozen"/>
      <selection activeCell="C1" sqref="C1"/>
      <selection pane="topRight" activeCell="P2" sqref="A2:P2"/>
    </sheetView>
  </sheetViews>
  <sheetFormatPr defaultRowHeight="15" x14ac:dyDescent="0.25"/>
  <cols>
    <col min="1" max="1" width="17.7109375" customWidth="1"/>
    <col min="2" max="2" width="19.7109375" style="7" customWidth="1"/>
    <col min="3" max="3" width="31.85546875" style="7" customWidth="1"/>
    <col min="4" max="4" width="16.85546875" customWidth="1"/>
    <col min="5" max="5" width="18" style="25" customWidth="1"/>
    <col min="6" max="6" width="17.5703125" style="26" customWidth="1"/>
    <col min="7" max="7" width="43.28515625" style="7" customWidth="1"/>
    <col min="8" max="8" width="17.140625" style="21" customWidth="1"/>
    <col min="9" max="9" width="17.28515625" customWidth="1"/>
    <col min="10" max="10" width="24.85546875" customWidth="1"/>
    <col min="11" max="11" width="11" customWidth="1"/>
    <col min="12" max="13" width="20.5703125" customWidth="1"/>
    <col min="14" max="14" width="21.5703125" customWidth="1"/>
    <col min="15" max="15" width="16.42578125" customWidth="1"/>
    <col min="16" max="16" width="30.7109375" customWidth="1"/>
  </cols>
  <sheetData>
    <row r="1" spans="1:16" s="4" customFormat="1" ht="51.75" customHeight="1" x14ac:dyDescent="0.25">
      <c r="A1" s="4" t="s">
        <v>1</v>
      </c>
      <c r="B1" s="4" t="s">
        <v>0</v>
      </c>
      <c r="C1" s="4" t="s">
        <v>20</v>
      </c>
      <c r="D1" s="4" t="s">
        <v>2</v>
      </c>
      <c r="E1" s="24" t="s">
        <v>3</v>
      </c>
      <c r="F1" s="24" t="s">
        <v>4</v>
      </c>
      <c r="G1" s="4" t="s">
        <v>5</v>
      </c>
      <c r="H1" s="19" t="s">
        <v>60</v>
      </c>
      <c r="I1" s="6" t="s">
        <v>10</v>
      </c>
      <c r="J1" s="5" t="s">
        <v>12</v>
      </c>
      <c r="K1" s="5" t="s">
        <v>80</v>
      </c>
      <c r="L1" s="5" t="s">
        <v>6</v>
      </c>
      <c r="M1" s="5" t="s">
        <v>58</v>
      </c>
      <c r="N1" s="5" t="s">
        <v>8</v>
      </c>
      <c r="O1" s="6" t="s">
        <v>21</v>
      </c>
      <c r="P1" s="5" t="s">
        <v>13</v>
      </c>
    </row>
    <row r="2" spans="1:16" ht="45" x14ac:dyDescent="0.25">
      <c r="A2" s="23" t="s">
        <v>81</v>
      </c>
      <c r="B2">
        <v>8481309908</v>
      </c>
      <c r="C2" s="3"/>
      <c r="D2" s="16">
        <v>1000</v>
      </c>
      <c r="E2" s="25">
        <v>13.6</v>
      </c>
      <c r="F2" s="25">
        <f t="shared" ref="F2:F46" si="0">E2*D2</f>
        <v>13600</v>
      </c>
      <c r="G2" s="3" t="s">
        <v>82</v>
      </c>
      <c r="H2" s="20" t="s">
        <v>84</v>
      </c>
      <c r="I2" t="s">
        <v>11</v>
      </c>
      <c r="J2" s="3" t="s">
        <v>83</v>
      </c>
      <c r="K2" t="s">
        <v>61</v>
      </c>
      <c r="L2" t="s">
        <v>7</v>
      </c>
      <c r="M2" t="s">
        <v>7</v>
      </c>
      <c r="N2" t="s">
        <v>9</v>
      </c>
      <c r="O2">
        <v>312.5</v>
      </c>
      <c r="P2">
        <v>383</v>
      </c>
    </row>
    <row r="3" spans="1:16" ht="45" x14ac:dyDescent="0.25">
      <c r="A3" s="3"/>
      <c r="B3">
        <v>8481309908</v>
      </c>
      <c r="C3" s="3"/>
      <c r="D3" s="16">
        <v>1</v>
      </c>
      <c r="E3" s="25">
        <v>2990</v>
      </c>
      <c r="F3" s="25">
        <f t="shared" si="0"/>
        <v>2990</v>
      </c>
      <c r="G3"/>
      <c r="H3" s="20" t="s">
        <v>78</v>
      </c>
      <c r="I3" t="s">
        <v>11</v>
      </c>
      <c r="J3" s="3" t="s">
        <v>83</v>
      </c>
      <c r="K3" t="s">
        <v>61</v>
      </c>
      <c r="L3" t="s">
        <v>7</v>
      </c>
      <c r="M3" t="s">
        <v>7</v>
      </c>
      <c r="N3" t="s">
        <v>9</v>
      </c>
    </row>
    <row r="4" spans="1:16" ht="45" x14ac:dyDescent="0.25">
      <c r="A4" s="3"/>
      <c r="B4">
        <v>8481309908</v>
      </c>
      <c r="C4" s="3"/>
      <c r="D4" s="16">
        <v>1</v>
      </c>
      <c r="E4" s="25">
        <v>2340</v>
      </c>
      <c r="F4" s="25">
        <f t="shared" si="0"/>
        <v>2340</v>
      </c>
      <c r="G4"/>
      <c r="H4" s="20" t="s">
        <v>78</v>
      </c>
      <c r="I4" t="s">
        <v>11</v>
      </c>
      <c r="J4" s="3" t="s">
        <v>83</v>
      </c>
      <c r="K4" t="s">
        <v>61</v>
      </c>
      <c r="L4" t="s">
        <v>7</v>
      </c>
      <c r="M4" t="s">
        <v>7</v>
      </c>
      <c r="N4" t="s">
        <v>9</v>
      </c>
    </row>
    <row r="5" spans="1:16" ht="45" x14ac:dyDescent="0.25">
      <c r="A5" s="3"/>
      <c r="B5">
        <v>8481309908</v>
      </c>
      <c r="C5" s="3"/>
      <c r="D5" s="16">
        <v>1</v>
      </c>
      <c r="E5" s="25">
        <v>2380</v>
      </c>
      <c r="F5" s="25">
        <f t="shared" si="0"/>
        <v>2380</v>
      </c>
      <c r="G5"/>
      <c r="H5" s="20" t="s">
        <v>78</v>
      </c>
      <c r="I5" t="s">
        <v>11</v>
      </c>
      <c r="J5" s="3" t="s">
        <v>83</v>
      </c>
      <c r="K5" t="s">
        <v>61</v>
      </c>
      <c r="L5" t="s">
        <v>7</v>
      </c>
      <c r="M5" t="s">
        <v>7</v>
      </c>
      <c r="N5" t="s">
        <v>9</v>
      </c>
    </row>
    <row r="6" spans="1:16" ht="45" x14ac:dyDescent="0.25">
      <c r="A6" s="3"/>
      <c r="B6">
        <v>8481309908</v>
      </c>
      <c r="C6" s="3"/>
      <c r="D6" s="16">
        <v>1</v>
      </c>
      <c r="E6" s="25">
        <v>2340</v>
      </c>
      <c r="F6" s="25">
        <f t="shared" si="0"/>
        <v>2340</v>
      </c>
      <c r="G6"/>
      <c r="H6" s="20" t="s">
        <v>78</v>
      </c>
      <c r="I6" t="s">
        <v>11</v>
      </c>
      <c r="J6" s="3" t="s">
        <v>83</v>
      </c>
      <c r="K6" t="s">
        <v>61</v>
      </c>
      <c r="L6" t="s">
        <v>7</v>
      </c>
      <c r="M6" t="s">
        <v>7</v>
      </c>
      <c r="N6" t="s">
        <v>9</v>
      </c>
    </row>
    <row r="7" spans="1:16" ht="45" x14ac:dyDescent="0.25">
      <c r="A7" s="3"/>
      <c r="B7">
        <v>8481309908</v>
      </c>
      <c r="C7" s="3"/>
      <c r="D7" s="16">
        <v>1</v>
      </c>
      <c r="E7" s="25">
        <v>3340</v>
      </c>
      <c r="F7" s="25">
        <f t="shared" si="0"/>
        <v>3340</v>
      </c>
      <c r="G7"/>
      <c r="H7" s="20" t="s">
        <v>78</v>
      </c>
      <c r="I7" t="s">
        <v>11</v>
      </c>
      <c r="J7" s="3" t="s">
        <v>83</v>
      </c>
      <c r="K7" t="s">
        <v>61</v>
      </c>
      <c r="L7" t="s">
        <v>7</v>
      </c>
      <c r="M7" t="s">
        <v>7</v>
      </c>
      <c r="N7" t="s">
        <v>9</v>
      </c>
    </row>
    <row r="8" spans="1:16" ht="45" x14ac:dyDescent="0.25">
      <c r="A8" s="3"/>
      <c r="B8">
        <v>8481309908</v>
      </c>
      <c r="C8" s="3"/>
      <c r="D8" s="16">
        <v>1</v>
      </c>
      <c r="E8" s="25">
        <v>2650</v>
      </c>
      <c r="F8" s="25">
        <f t="shared" si="0"/>
        <v>2650</v>
      </c>
      <c r="G8"/>
      <c r="H8" s="20" t="s">
        <v>78</v>
      </c>
      <c r="I8" t="s">
        <v>11</v>
      </c>
      <c r="J8" s="3" t="s">
        <v>83</v>
      </c>
      <c r="K8" t="s">
        <v>61</v>
      </c>
      <c r="L8" t="s">
        <v>7</v>
      </c>
      <c r="M8" t="s">
        <v>7</v>
      </c>
      <c r="N8" t="s">
        <v>9</v>
      </c>
    </row>
    <row r="9" spans="1:16" ht="45" x14ac:dyDescent="0.25">
      <c r="A9" s="3"/>
      <c r="B9">
        <v>8481309908</v>
      </c>
      <c r="C9" s="3"/>
      <c r="D9" s="16">
        <v>1</v>
      </c>
      <c r="E9" s="25">
        <v>2340</v>
      </c>
      <c r="F9" s="25">
        <f t="shared" si="0"/>
        <v>2340</v>
      </c>
      <c r="G9"/>
      <c r="H9" s="20" t="s">
        <v>78</v>
      </c>
      <c r="I9" t="s">
        <v>11</v>
      </c>
      <c r="J9" s="3" t="s">
        <v>83</v>
      </c>
      <c r="K9" t="s">
        <v>61</v>
      </c>
      <c r="L9" t="s">
        <v>7</v>
      </c>
      <c r="M9" t="s">
        <v>7</v>
      </c>
      <c r="N9" t="s">
        <v>9</v>
      </c>
    </row>
    <row r="10" spans="1:16" ht="45" x14ac:dyDescent="0.25">
      <c r="A10" s="3"/>
      <c r="B10">
        <v>8481309908</v>
      </c>
      <c r="C10" s="3"/>
      <c r="D10" s="16">
        <v>1</v>
      </c>
      <c r="E10" s="25">
        <v>2340</v>
      </c>
      <c r="F10" s="25">
        <f t="shared" si="0"/>
        <v>2340</v>
      </c>
      <c r="G10"/>
      <c r="H10" s="20" t="s">
        <v>78</v>
      </c>
      <c r="I10" t="s">
        <v>11</v>
      </c>
      <c r="J10" s="3" t="s">
        <v>83</v>
      </c>
      <c r="K10" t="s">
        <v>61</v>
      </c>
      <c r="L10" t="s">
        <v>7</v>
      </c>
      <c r="M10" t="s">
        <v>7</v>
      </c>
      <c r="N10" t="s">
        <v>9</v>
      </c>
    </row>
    <row r="11" spans="1:16" ht="81.75" customHeight="1" x14ac:dyDescent="0.25">
      <c r="A11" s="3"/>
      <c r="B11">
        <v>8481309908</v>
      </c>
      <c r="C11" s="3"/>
      <c r="D11" s="16">
        <v>1</v>
      </c>
      <c r="E11" s="25">
        <v>1980</v>
      </c>
      <c r="F11" s="25">
        <f t="shared" si="0"/>
        <v>1980</v>
      </c>
      <c r="G11"/>
      <c r="H11" s="20" t="s">
        <v>78</v>
      </c>
      <c r="I11" t="s">
        <v>11</v>
      </c>
      <c r="J11" s="3" t="s">
        <v>83</v>
      </c>
      <c r="K11" t="s">
        <v>61</v>
      </c>
      <c r="L11" t="s">
        <v>7</v>
      </c>
      <c r="M11" t="s">
        <v>7</v>
      </c>
      <c r="N11" t="s">
        <v>9</v>
      </c>
    </row>
    <row r="12" spans="1:16" ht="45" x14ac:dyDescent="0.25">
      <c r="A12" s="3"/>
      <c r="B12">
        <v>8481309908</v>
      </c>
      <c r="C12" s="3"/>
      <c r="D12" s="16">
        <v>1</v>
      </c>
      <c r="E12" s="25">
        <v>1960</v>
      </c>
      <c r="F12" s="25">
        <f t="shared" si="0"/>
        <v>1960</v>
      </c>
      <c r="G12"/>
      <c r="H12" s="20" t="s">
        <v>78</v>
      </c>
      <c r="I12" t="s">
        <v>11</v>
      </c>
      <c r="J12" s="3" t="s">
        <v>83</v>
      </c>
      <c r="K12" t="s">
        <v>61</v>
      </c>
      <c r="L12" t="s">
        <v>7</v>
      </c>
      <c r="M12" t="s">
        <v>7</v>
      </c>
      <c r="N12" t="s">
        <v>9</v>
      </c>
    </row>
    <row r="13" spans="1:16" ht="45" x14ac:dyDescent="0.25">
      <c r="A13" s="3"/>
      <c r="B13">
        <v>8481309908</v>
      </c>
      <c r="C13" s="3"/>
      <c r="D13" s="16">
        <v>1</v>
      </c>
      <c r="E13" s="25">
        <v>1850</v>
      </c>
      <c r="F13" s="25">
        <f t="shared" si="0"/>
        <v>1850</v>
      </c>
      <c r="G13"/>
      <c r="H13" s="20" t="s">
        <v>78</v>
      </c>
      <c r="I13" t="s">
        <v>11</v>
      </c>
      <c r="J13" s="3" t="s">
        <v>83</v>
      </c>
      <c r="K13" t="s">
        <v>61</v>
      </c>
      <c r="L13" t="s">
        <v>7</v>
      </c>
      <c r="M13" t="s">
        <v>7</v>
      </c>
      <c r="N13" t="s">
        <v>9</v>
      </c>
    </row>
    <row r="14" spans="1:16" ht="45" x14ac:dyDescent="0.25">
      <c r="A14" s="3"/>
      <c r="B14">
        <v>8481309908</v>
      </c>
      <c r="C14" s="3"/>
      <c r="D14" s="16">
        <v>1</v>
      </c>
      <c r="E14" s="25">
        <v>1960</v>
      </c>
      <c r="F14" s="25">
        <f t="shared" si="0"/>
        <v>1960</v>
      </c>
      <c r="G14"/>
      <c r="H14" s="20" t="s">
        <v>78</v>
      </c>
      <c r="I14" t="s">
        <v>11</v>
      </c>
      <c r="J14" s="3" t="s">
        <v>83</v>
      </c>
      <c r="K14" t="s">
        <v>61</v>
      </c>
      <c r="L14" t="s">
        <v>7</v>
      </c>
      <c r="M14" t="s">
        <v>7</v>
      </c>
      <c r="N14" t="s">
        <v>9</v>
      </c>
    </row>
    <row r="15" spans="1:16" ht="45" x14ac:dyDescent="0.25">
      <c r="A15" s="3"/>
      <c r="B15">
        <v>8481309908</v>
      </c>
      <c r="C15" t="e">
        <f>VLOOKUP(A15,Лист1!$B$1:$Q$28,5,0)</f>
        <v>#N/A</v>
      </c>
      <c r="D15" s="16"/>
      <c r="E15" s="25" t="e">
        <f>VLOOKUP(A15,Лист1!$B$1:$Q$28,3,0)</f>
        <v>#N/A</v>
      </c>
      <c r="F15" s="25" t="e">
        <f t="shared" si="0"/>
        <v>#N/A</v>
      </c>
      <c r="G15"/>
      <c r="H15" s="20"/>
      <c r="I15" t="s">
        <v>11</v>
      </c>
      <c r="J15" s="3" t="s">
        <v>83</v>
      </c>
      <c r="K15" t="s">
        <v>61</v>
      </c>
      <c r="L15" t="s">
        <v>7</v>
      </c>
      <c r="M15" t="s">
        <v>7</v>
      </c>
      <c r="N15" t="s">
        <v>9</v>
      </c>
      <c r="O15" t="e">
        <f>#REF!+#REF!*0.05</f>
        <v>#REF!</v>
      </c>
      <c r="P15" s="1">
        <v>184</v>
      </c>
    </row>
    <row r="16" spans="1:16" ht="45" x14ac:dyDescent="0.25">
      <c r="A16" s="3"/>
      <c r="B16">
        <v>8481309908</v>
      </c>
      <c r="C16" t="e">
        <f>VLOOKUP(A16,Лист1!$B$1:$Q$28,5,0)</f>
        <v>#N/A</v>
      </c>
      <c r="D16" s="16"/>
      <c r="E16" s="25" t="e">
        <f>VLOOKUP(A16,Лист1!$B$1:$Q$28,3,0)</f>
        <v>#N/A</v>
      </c>
      <c r="F16" s="25" t="e">
        <f t="shared" si="0"/>
        <v>#N/A</v>
      </c>
      <c r="G16"/>
      <c r="H16" s="20"/>
      <c r="I16" t="s">
        <v>11</v>
      </c>
      <c r="J16" s="3" t="s">
        <v>83</v>
      </c>
      <c r="K16" t="s">
        <v>61</v>
      </c>
      <c r="L16" t="s">
        <v>7</v>
      </c>
      <c r="M16" t="s">
        <v>7</v>
      </c>
      <c r="N16" t="s">
        <v>9</v>
      </c>
      <c r="O16" t="e">
        <f>#REF!+#REF!*0.05</f>
        <v>#REF!</v>
      </c>
      <c r="P16" s="1">
        <v>184</v>
      </c>
    </row>
    <row r="17" spans="1:16" ht="45" x14ac:dyDescent="0.25">
      <c r="A17" s="3"/>
      <c r="B17">
        <v>8481309908</v>
      </c>
      <c r="C17" t="e">
        <f>VLOOKUP(A17,Лист1!$B$1:$Q$28,5,0)</f>
        <v>#N/A</v>
      </c>
      <c r="D17" s="16"/>
      <c r="E17" s="25" t="e">
        <f>VLOOKUP(A17,Лист1!$B$1:$Q$28,3,0)</f>
        <v>#N/A</v>
      </c>
      <c r="F17" s="25" t="e">
        <f t="shared" si="0"/>
        <v>#N/A</v>
      </c>
      <c r="G17"/>
      <c r="H17" s="20"/>
      <c r="I17" t="s">
        <v>11</v>
      </c>
      <c r="J17" s="3" t="s">
        <v>83</v>
      </c>
      <c r="K17" t="s">
        <v>61</v>
      </c>
      <c r="L17" t="s">
        <v>7</v>
      </c>
      <c r="M17" t="s">
        <v>7</v>
      </c>
      <c r="N17" t="s">
        <v>9</v>
      </c>
      <c r="O17" t="e">
        <f>#REF!+#REF!*0.05</f>
        <v>#REF!</v>
      </c>
      <c r="P17" s="1">
        <v>184</v>
      </c>
    </row>
    <row r="18" spans="1:16" ht="45" x14ac:dyDescent="0.25">
      <c r="A18" s="3"/>
      <c r="B18">
        <v>8481309908</v>
      </c>
      <c r="C18" t="e">
        <f>VLOOKUP(A18,Лист1!$B$1:$Q$28,5,0)</f>
        <v>#N/A</v>
      </c>
      <c r="D18" s="16"/>
      <c r="E18" s="25" t="e">
        <f>VLOOKUP(A18,Лист1!$B$1:$Q$28,3,0)</f>
        <v>#N/A</v>
      </c>
      <c r="F18" s="25" t="e">
        <f t="shared" si="0"/>
        <v>#N/A</v>
      </c>
      <c r="G18"/>
      <c r="H18" s="20"/>
      <c r="I18" t="s">
        <v>11</v>
      </c>
      <c r="J18" s="3" t="s">
        <v>83</v>
      </c>
      <c r="K18" t="s">
        <v>61</v>
      </c>
      <c r="L18" t="s">
        <v>7</v>
      </c>
      <c r="M18" t="s">
        <v>7</v>
      </c>
      <c r="N18" t="s">
        <v>9</v>
      </c>
      <c r="O18" t="e">
        <f>#REF!+#REF!*0.05</f>
        <v>#REF!</v>
      </c>
      <c r="P18" s="1">
        <v>184</v>
      </c>
    </row>
    <row r="19" spans="1:16" ht="45" x14ac:dyDescent="0.25">
      <c r="A19" s="3"/>
      <c r="B19">
        <v>8481309908</v>
      </c>
      <c r="C19" t="e">
        <f>VLOOKUP(A19,Лист1!$B$1:$Q$28,5,0)</f>
        <v>#N/A</v>
      </c>
      <c r="D19" s="16"/>
      <c r="E19" s="25" t="e">
        <f>VLOOKUP(A19,Лист1!$B$1:$Q$28,3,0)</f>
        <v>#N/A</v>
      </c>
      <c r="F19" s="25" t="e">
        <f t="shared" si="0"/>
        <v>#N/A</v>
      </c>
      <c r="G19"/>
      <c r="H19" s="20"/>
      <c r="I19" t="s">
        <v>11</v>
      </c>
      <c r="J19" s="3" t="s">
        <v>83</v>
      </c>
      <c r="K19" t="s">
        <v>61</v>
      </c>
      <c r="L19" t="s">
        <v>7</v>
      </c>
      <c r="M19" t="s">
        <v>7</v>
      </c>
      <c r="N19" t="s">
        <v>9</v>
      </c>
      <c r="O19" t="e">
        <f>#REF!+#REF!*0.05</f>
        <v>#REF!</v>
      </c>
      <c r="P19" s="1">
        <v>184</v>
      </c>
    </row>
    <row r="20" spans="1:16" ht="45" x14ac:dyDescent="0.25">
      <c r="A20" s="3"/>
      <c r="B20">
        <v>8481309908</v>
      </c>
      <c r="C20" t="e">
        <f>VLOOKUP(A20,Лист1!$B$1:$Q$28,5,0)</f>
        <v>#N/A</v>
      </c>
      <c r="D20" s="16"/>
      <c r="E20" s="25" t="e">
        <f>VLOOKUP(A20,Лист1!$B$1:$Q$28,3,0)</f>
        <v>#N/A</v>
      </c>
      <c r="F20" s="25" t="e">
        <f t="shared" si="0"/>
        <v>#N/A</v>
      </c>
      <c r="G20"/>
      <c r="H20" s="20"/>
      <c r="I20" t="s">
        <v>11</v>
      </c>
      <c r="J20" s="3" t="s">
        <v>83</v>
      </c>
      <c r="K20" t="s">
        <v>61</v>
      </c>
      <c r="L20" t="s">
        <v>7</v>
      </c>
      <c r="M20" t="s">
        <v>7</v>
      </c>
      <c r="N20" t="s">
        <v>9</v>
      </c>
      <c r="O20" t="e">
        <f>#REF!+#REF!*0.05</f>
        <v>#REF!</v>
      </c>
      <c r="P20" s="1">
        <v>184</v>
      </c>
    </row>
    <row r="21" spans="1:16" ht="45" x14ac:dyDescent="0.25">
      <c r="A21" s="3"/>
      <c r="B21">
        <v>8481309908</v>
      </c>
      <c r="C21" t="e">
        <f>VLOOKUP(A21,Лист1!$B$1:$Q$28,5,0)</f>
        <v>#N/A</v>
      </c>
      <c r="D21" s="16"/>
      <c r="E21" s="25" t="e">
        <f>VLOOKUP(A21,Лист1!$B$1:$Q$28,3,0)</f>
        <v>#N/A</v>
      </c>
      <c r="F21" s="25" t="e">
        <f t="shared" si="0"/>
        <v>#N/A</v>
      </c>
      <c r="G21"/>
      <c r="H21" s="20"/>
      <c r="I21" t="s">
        <v>11</v>
      </c>
      <c r="J21" s="3" t="s">
        <v>83</v>
      </c>
      <c r="K21" t="s">
        <v>61</v>
      </c>
      <c r="L21" t="s">
        <v>7</v>
      </c>
      <c r="M21" t="s">
        <v>7</v>
      </c>
      <c r="N21" t="s">
        <v>9</v>
      </c>
      <c r="O21" t="e">
        <f>#REF!+#REF!*0.05</f>
        <v>#REF!</v>
      </c>
      <c r="P21" s="1">
        <v>184</v>
      </c>
    </row>
    <row r="22" spans="1:16" ht="45" x14ac:dyDescent="0.25">
      <c r="A22" s="3"/>
      <c r="B22">
        <v>8481309908</v>
      </c>
      <c r="C22" t="e">
        <f>VLOOKUP(A22,Лист1!$B$1:$Q$28,5,0)</f>
        <v>#N/A</v>
      </c>
      <c r="D22" s="16"/>
      <c r="E22" s="25" t="e">
        <f>VLOOKUP(A22,Лист1!$B$1:$Q$28,3,0)</f>
        <v>#N/A</v>
      </c>
      <c r="F22" s="25" t="e">
        <f t="shared" si="0"/>
        <v>#N/A</v>
      </c>
      <c r="G22"/>
      <c r="H22" s="20"/>
      <c r="I22" t="s">
        <v>11</v>
      </c>
      <c r="J22" s="3" t="s">
        <v>83</v>
      </c>
      <c r="K22" t="s">
        <v>61</v>
      </c>
      <c r="L22" t="s">
        <v>7</v>
      </c>
      <c r="M22" t="s">
        <v>7</v>
      </c>
      <c r="N22" t="s">
        <v>9</v>
      </c>
      <c r="O22" t="e">
        <f>#REF!+#REF!*0.05</f>
        <v>#REF!</v>
      </c>
      <c r="P22" s="1">
        <v>184</v>
      </c>
    </row>
    <row r="23" spans="1:16" ht="45" x14ac:dyDescent="0.25">
      <c r="A23" s="3"/>
      <c r="B23">
        <v>8481309908</v>
      </c>
      <c r="C23" t="e">
        <f>VLOOKUP(A23,Лист1!$B$1:$Q$28,5,0)</f>
        <v>#N/A</v>
      </c>
      <c r="D23" s="16"/>
      <c r="E23" s="25" t="e">
        <f>VLOOKUP(A23,Лист1!$B$1:$Q$28,3,0)</f>
        <v>#N/A</v>
      </c>
      <c r="F23" s="25" t="e">
        <f t="shared" si="0"/>
        <v>#N/A</v>
      </c>
      <c r="G23"/>
      <c r="H23" s="20"/>
      <c r="I23" t="s">
        <v>11</v>
      </c>
      <c r="J23" s="3" t="s">
        <v>83</v>
      </c>
      <c r="K23" t="s">
        <v>61</v>
      </c>
      <c r="L23" t="s">
        <v>7</v>
      </c>
      <c r="M23" t="s">
        <v>7</v>
      </c>
      <c r="N23" t="s">
        <v>9</v>
      </c>
      <c r="O23" t="e">
        <f>#REF!+#REF!*0.05</f>
        <v>#REF!</v>
      </c>
      <c r="P23" s="1">
        <v>184</v>
      </c>
    </row>
    <row r="24" spans="1:16" ht="75" x14ac:dyDescent="0.25">
      <c r="A24" s="3"/>
      <c r="B24">
        <v>8481309908</v>
      </c>
      <c r="C24" t="e">
        <f>VLOOKUP(A24,Лист1!$B$1:$Q$28,5,0)</f>
        <v>#N/A</v>
      </c>
      <c r="D24" s="16"/>
      <c r="E24" s="25" t="e">
        <f>VLOOKUP(A24,Лист1!$B$1:$Q$28,3,0)</f>
        <v>#N/A</v>
      </c>
      <c r="F24" s="25" t="e">
        <f t="shared" si="0"/>
        <v>#N/A</v>
      </c>
      <c r="G24"/>
      <c r="H24" s="20"/>
      <c r="I24" t="s">
        <v>11</v>
      </c>
      <c r="J24" s="3" t="s">
        <v>79</v>
      </c>
      <c r="K24" t="s">
        <v>61</v>
      </c>
      <c r="L24" t="s">
        <v>7</v>
      </c>
      <c r="M24" t="s">
        <v>7</v>
      </c>
      <c r="N24" t="s">
        <v>9</v>
      </c>
      <c r="O24" t="e">
        <f>#REF!+#REF!*0.05</f>
        <v>#REF!</v>
      </c>
      <c r="P24" s="1">
        <v>184</v>
      </c>
    </row>
    <row r="25" spans="1:16" ht="75" x14ac:dyDescent="0.25">
      <c r="A25" s="3"/>
      <c r="B25">
        <v>8481309908</v>
      </c>
      <c r="C25" t="e">
        <f>VLOOKUP(A25,Лист1!$B$1:$Q$28,5,0)</f>
        <v>#N/A</v>
      </c>
      <c r="D25" s="16"/>
      <c r="E25" s="25" t="e">
        <f>VLOOKUP(A25,Лист1!$B$1:$Q$28,3,0)</f>
        <v>#N/A</v>
      </c>
      <c r="F25" s="25" t="e">
        <f t="shared" si="0"/>
        <v>#N/A</v>
      </c>
      <c r="G25"/>
      <c r="H25" s="20"/>
      <c r="I25" t="s">
        <v>11</v>
      </c>
      <c r="J25" s="3" t="s">
        <v>79</v>
      </c>
      <c r="K25" t="s">
        <v>61</v>
      </c>
      <c r="L25" t="s">
        <v>7</v>
      </c>
      <c r="M25" t="s">
        <v>7</v>
      </c>
      <c r="N25" t="s">
        <v>9</v>
      </c>
      <c r="O25" t="e">
        <f>#REF!+#REF!*0.05</f>
        <v>#REF!</v>
      </c>
      <c r="P25" s="1">
        <v>184</v>
      </c>
    </row>
    <row r="26" spans="1:16" ht="75" x14ac:dyDescent="0.25">
      <c r="A26" s="3"/>
      <c r="B26">
        <v>8481309908</v>
      </c>
      <c r="C26" t="e">
        <f>VLOOKUP(A26,Лист1!$B$1:$Q$28,5,0)</f>
        <v>#N/A</v>
      </c>
      <c r="D26" s="16"/>
      <c r="E26" s="25" t="e">
        <f>VLOOKUP(A26,Лист1!$B$1:$Q$28,3,0)</f>
        <v>#N/A</v>
      </c>
      <c r="F26" s="25" t="e">
        <f t="shared" si="0"/>
        <v>#N/A</v>
      </c>
      <c r="G26"/>
      <c r="H26" s="20"/>
      <c r="I26" t="s">
        <v>11</v>
      </c>
      <c r="J26" s="3" t="s">
        <v>79</v>
      </c>
      <c r="K26" t="s">
        <v>61</v>
      </c>
      <c r="L26" t="s">
        <v>7</v>
      </c>
      <c r="M26" t="s">
        <v>7</v>
      </c>
      <c r="N26" t="s">
        <v>9</v>
      </c>
      <c r="O26" t="e">
        <f>#REF!+#REF!*0.05</f>
        <v>#REF!</v>
      </c>
      <c r="P26" s="1">
        <v>184</v>
      </c>
    </row>
    <row r="27" spans="1:16" ht="75" x14ac:dyDescent="0.25">
      <c r="A27" s="3"/>
      <c r="B27">
        <v>8481309908</v>
      </c>
      <c r="C27" t="e">
        <f>VLOOKUP(A27,Лист1!$B$1:$Q$28,5,0)</f>
        <v>#N/A</v>
      </c>
      <c r="D27" s="16"/>
      <c r="E27" s="25" t="e">
        <f>VLOOKUP(A27,Лист1!$B$1:$Q$28,3,0)</f>
        <v>#N/A</v>
      </c>
      <c r="F27" s="25" t="e">
        <f t="shared" si="0"/>
        <v>#N/A</v>
      </c>
      <c r="G27"/>
      <c r="H27" s="20"/>
      <c r="I27" t="s">
        <v>11</v>
      </c>
      <c r="J27" s="3" t="s">
        <v>79</v>
      </c>
      <c r="K27" t="s">
        <v>61</v>
      </c>
      <c r="L27" t="s">
        <v>7</v>
      </c>
      <c r="M27" t="s">
        <v>7</v>
      </c>
      <c r="N27" t="s">
        <v>9</v>
      </c>
      <c r="O27" t="e">
        <f>#REF!+#REF!*0.05</f>
        <v>#REF!</v>
      </c>
      <c r="P27" s="1">
        <v>184</v>
      </c>
    </row>
    <row r="28" spans="1:16" ht="75" x14ac:dyDescent="0.25">
      <c r="A28" s="3"/>
      <c r="B28">
        <v>8481309908</v>
      </c>
      <c r="C28" t="e">
        <f>VLOOKUP(A28,Лист1!$B$1:$Q$28,5,0)</f>
        <v>#N/A</v>
      </c>
      <c r="D28" s="16"/>
      <c r="E28" s="25" t="e">
        <f>VLOOKUP(A28,Лист1!$B$1:$Q$28,3,0)</f>
        <v>#N/A</v>
      </c>
      <c r="F28" s="25" t="e">
        <f t="shared" si="0"/>
        <v>#N/A</v>
      </c>
      <c r="G28"/>
      <c r="H28" s="20"/>
      <c r="I28" t="s">
        <v>11</v>
      </c>
      <c r="J28" s="3" t="s">
        <v>79</v>
      </c>
      <c r="K28" t="s">
        <v>61</v>
      </c>
      <c r="L28" t="s">
        <v>7</v>
      </c>
      <c r="M28" t="s">
        <v>7</v>
      </c>
      <c r="N28" t="s">
        <v>9</v>
      </c>
      <c r="O28" t="e">
        <f>#REF!+#REF!*0.05</f>
        <v>#REF!</v>
      </c>
      <c r="P28" s="1">
        <v>184</v>
      </c>
    </row>
    <row r="29" spans="1:16" ht="75" x14ac:dyDescent="0.25">
      <c r="A29" s="3"/>
      <c r="B29">
        <v>8481309908</v>
      </c>
      <c r="C29" t="e">
        <f>VLOOKUP(A29,Лист1!$B$1:$Q$28,5,0)</f>
        <v>#N/A</v>
      </c>
      <c r="D29" s="16"/>
      <c r="E29" s="25" t="e">
        <f>VLOOKUP(A29,Лист1!$B$1:$Q$28,3,0)</f>
        <v>#N/A</v>
      </c>
      <c r="F29" s="25" t="e">
        <f t="shared" si="0"/>
        <v>#N/A</v>
      </c>
      <c r="G29"/>
      <c r="H29" s="20"/>
      <c r="I29" t="s">
        <v>11</v>
      </c>
      <c r="J29" s="3" t="s">
        <v>79</v>
      </c>
      <c r="K29" t="s">
        <v>61</v>
      </c>
      <c r="L29" t="s">
        <v>7</v>
      </c>
      <c r="M29" t="s">
        <v>7</v>
      </c>
      <c r="N29" t="s">
        <v>9</v>
      </c>
      <c r="O29" t="e">
        <f>#REF!+#REF!*0.05</f>
        <v>#REF!</v>
      </c>
      <c r="P29" s="1">
        <v>184</v>
      </c>
    </row>
    <row r="30" spans="1:16" ht="75" x14ac:dyDescent="0.25">
      <c r="A30" s="3"/>
      <c r="B30">
        <v>8481309908</v>
      </c>
      <c r="C30" t="e">
        <f>VLOOKUP(A30,Лист1!$B$1:$Q$28,5,0)</f>
        <v>#N/A</v>
      </c>
      <c r="D30" s="16"/>
      <c r="E30" s="25" t="e">
        <f>VLOOKUP(A30,Лист1!$B$1:$Q$28,3,0)</f>
        <v>#N/A</v>
      </c>
      <c r="F30" s="25" t="e">
        <f t="shared" si="0"/>
        <v>#N/A</v>
      </c>
      <c r="G30"/>
      <c r="H30" s="20"/>
      <c r="I30" t="s">
        <v>11</v>
      </c>
      <c r="J30" s="3" t="s">
        <v>79</v>
      </c>
      <c r="K30" t="s">
        <v>61</v>
      </c>
      <c r="L30" t="s">
        <v>7</v>
      </c>
      <c r="M30" t="s">
        <v>7</v>
      </c>
      <c r="N30" t="s">
        <v>9</v>
      </c>
      <c r="O30" t="e">
        <f>#REF!+#REF!*0.05</f>
        <v>#REF!</v>
      </c>
      <c r="P30" s="1">
        <v>184</v>
      </c>
    </row>
    <row r="31" spans="1:16" ht="75" x14ac:dyDescent="0.25">
      <c r="A31" s="3"/>
      <c r="B31">
        <v>8481309908</v>
      </c>
      <c r="C31" t="e">
        <f>VLOOKUP(A31,Лист1!$B$1:$Q$28,5,0)</f>
        <v>#N/A</v>
      </c>
      <c r="D31" s="16"/>
      <c r="E31" s="25" t="e">
        <f>VLOOKUP(A31,Лист1!$B$1:$Q$28,3,0)</f>
        <v>#N/A</v>
      </c>
      <c r="F31" s="25" t="e">
        <f t="shared" si="0"/>
        <v>#N/A</v>
      </c>
      <c r="G31"/>
      <c r="H31" s="20"/>
      <c r="I31" t="s">
        <v>11</v>
      </c>
      <c r="J31" s="3" t="s">
        <v>79</v>
      </c>
      <c r="K31" t="s">
        <v>61</v>
      </c>
      <c r="L31" t="s">
        <v>7</v>
      </c>
      <c r="M31" t="s">
        <v>7</v>
      </c>
      <c r="N31" t="s">
        <v>9</v>
      </c>
      <c r="O31" t="e">
        <f>#REF!+#REF!*0.05</f>
        <v>#REF!</v>
      </c>
      <c r="P31" s="1">
        <v>184</v>
      </c>
    </row>
    <row r="32" spans="1:16" ht="75" x14ac:dyDescent="0.25">
      <c r="A32" s="3"/>
      <c r="B32">
        <v>8481309908</v>
      </c>
      <c r="C32" t="e">
        <f>VLOOKUP(A32,Лист1!$B$1:$Q$28,5,0)</f>
        <v>#N/A</v>
      </c>
      <c r="D32" s="16"/>
      <c r="E32" s="25" t="e">
        <f>VLOOKUP(A32,Лист1!$B$1:$Q$28,3,0)</f>
        <v>#N/A</v>
      </c>
      <c r="F32" s="25" t="e">
        <f t="shared" si="0"/>
        <v>#N/A</v>
      </c>
      <c r="G32"/>
      <c r="H32" s="20"/>
      <c r="I32" t="s">
        <v>11</v>
      </c>
      <c r="J32" s="3" t="s">
        <v>79</v>
      </c>
      <c r="K32" t="s">
        <v>61</v>
      </c>
      <c r="L32" t="s">
        <v>7</v>
      </c>
      <c r="M32" t="s">
        <v>7</v>
      </c>
      <c r="N32" t="s">
        <v>9</v>
      </c>
      <c r="O32" t="e">
        <f>#REF!+#REF!*0.05</f>
        <v>#REF!</v>
      </c>
      <c r="P32" s="1">
        <v>184</v>
      </c>
    </row>
    <row r="33" spans="1:16" ht="75" x14ac:dyDescent="0.25">
      <c r="A33" s="3"/>
      <c r="B33">
        <v>8481309908</v>
      </c>
      <c r="C33" t="e">
        <f>VLOOKUP(A33,Лист1!$B$1:$Q$28,5,0)</f>
        <v>#N/A</v>
      </c>
      <c r="D33" s="16"/>
      <c r="E33" s="25" t="e">
        <f>VLOOKUP(A33,Лист1!$B$1:$Q$28,3,0)</f>
        <v>#N/A</v>
      </c>
      <c r="F33" s="25" t="e">
        <f t="shared" si="0"/>
        <v>#N/A</v>
      </c>
      <c r="G33"/>
      <c r="H33" s="20"/>
      <c r="I33" t="s">
        <v>11</v>
      </c>
      <c r="J33" s="3" t="s">
        <v>79</v>
      </c>
      <c r="K33" t="s">
        <v>61</v>
      </c>
      <c r="L33" t="s">
        <v>7</v>
      </c>
      <c r="M33" t="s">
        <v>7</v>
      </c>
      <c r="N33" t="s">
        <v>9</v>
      </c>
      <c r="O33" t="e">
        <f>#REF!+#REF!*0.05</f>
        <v>#REF!</v>
      </c>
      <c r="P33" s="1">
        <v>184</v>
      </c>
    </row>
    <row r="34" spans="1:16" ht="75" x14ac:dyDescent="0.25">
      <c r="A34" s="3"/>
      <c r="B34">
        <v>8481309908</v>
      </c>
      <c r="C34" t="e">
        <f>VLOOKUP(A34,Лист1!$B$1:$Q$28,5,0)</f>
        <v>#N/A</v>
      </c>
      <c r="D34" s="16"/>
      <c r="E34" s="25" t="e">
        <f>VLOOKUP(A34,Лист1!$B$1:$Q$28,3,0)</f>
        <v>#N/A</v>
      </c>
      <c r="F34" s="25" t="e">
        <f t="shared" si="0"/>
        <v>#N/A</v>
      </c>
      <c r="G34"/>
      <c r="H34" s="20"/>
      <c r="I34" t="s">
        <v>11</v>
      </c>
      <c r="J34" s="3" t="s">
        <v>79</v>
      </c>
      <c r="K34" t="s">
        <v>61</v>
      </c>
      <c r="L34" t="s">
        <v>7</v>
      </c>
      <c r="M34" t="s">
        <v>7</v>
      </c>
      <c r="N34" t="s">
        <v>9</v>
      </c>
      <c r="O34" t="e">
        <f>#REF!+#REF!*0.05</f>
        <v>#REF!</v>
      </c>
      <c r="P34" s="1">
        <v>184</v>
      </c>
    </row>
    <row r="35" spans="1:16" ht="75" x14ac:dyDescent="0.25">
      <c r="A35" s="3"/>
      <c r="B35">
        <v>8481309908</v>
      </c>
      <c r="C35" t="e">
        <f>VLOOKUP(A35,Лист1!$B$1:$Q$28,5,0)</f>
        <v>#N/A</v>
      </c>
      <c r="D35" s="16"/>
      <c r="E35" s="25" t="e">
        <f>VLOOKUP(A35,Лист1!$B$1:$Q$28,3,0)</f>
        <v>#N/A</v>
      </c>
      <c r="F35" s="25" t="e">
        <f t="shared" si="0"/>
        <v>#N/A</v>
      </c>
      <c r="G35"/>
      <c r="H35" s="20"/>
      <c r="I35" t="s">
        <v>11</v>
      </c>
      <c r="J35" s="3" t="s">
        <v>79</v>
      </c>
      <c r="K35" t="s">
        <v>61</v>
      </c>
      <c r="L35" t="s">
        <v>7</v>
      </c>
      <c r="M35" t="s">
        <v>7</v>
      </c>
      <c r="N35" t="s">
        <v>9</v>
      </c>
      <c r="O35" t="e">
        <f>#REF!+#REF!*0.05</f>
        <v>#REF!</v>
      </c>
      <c r="P35" s="1">
        <v>184</v>
      </c>
    </row>
    <row r="36" spans="1:16" ht="75" x14ac:dyDescent="0.25">
      <c r="A36" s="3"/>
      <c r="B36">
        <v>8481309908</v>
      </c>
      <c r="C36" t="e">
        <f>VLOOKUP(A36,Лист1!$B$1:$Q$28,5,0)</f>
        <v>#N/A</v>
      </c>
      <c r="D36" s="16"/>
      <c r="E36" s="25" t="e">
        <f>VLOOKUP(A36,Лист1!$B$1:$Q$28,3,0)</f>
        <v>#N/A</v>
      </c>
      <c r="F36" s="25" t="e">
        <f t="shared" si="0"/>
        <v>#N/A</v>
      </c>
      <c r="G36"/>
      <c r="H36" s="20"/>
      <c r="I36" t="s">
        <v>11</v>
      </c>
      <c r="J36" s="3" t="s">
        <v>79</v>
      </c>
      <c r="K36" t="s">
        <v>61</v>
      </c>
      <c r="L36" t="s">
        <v>7</v>
      </c>
      <c r="M36" t="s">
        <v>7</v>
      </c>
      <c r="N36" t="s">
        <v>9</v>
      </c>
      <c r="O36" t="e">
        <f>#REF!+#REF!*0.05</f>
        <v>#REF!</v>
      </c>
      <c r="P36" s="1">
        <v>184</v>
      </c>
    </row>
    <row r="37" spans="1:16" ht="75" x14ac:dyDescent="0.25">
      <c r="A37" s="3"/>
      <c r="B37">
        <v>8481309908</v>
      </c>
      <c r="C37" t="e">
        <f>VLOOKUP(A37,Лист1!$B$1:$Q$28,5,0)</f>
        <v>#N/A</v>
      </c>
      <c r="D37" s="16"/>
      <c r="E37" s="25" t="e">
        <f>VLOOKUP(A37,Лист1!$B$1:$Q$28,3,0)</f>
        <v>#N/A</v>
      </c>
      <c r="F37" s="25" t="e">
        <f t="shared" si="0"/>
        <v>#N/A</v>
      </c>
      <c r="G37"/>
      <c r="H37" s="20"/>
      <c r="I37" t="s">
        <v>11</v>
      </c>
      <c r="J37" s="3" t="s">
        <v>79</v>
      </c>
      <c r="K37" t="s">
        <v>61</v>
      </c>
      <c r="L37" t="s">
        <v>7</v>
      </c>
      <c r="M37" t="s">
        <v>7</v>
      </c>
      <c r="N37" t="s">
        <v>9</v>
      </c>
      <c r="O37" t="e">
        <f>#REF!+#REF!*0.05</f>
        <v>#REF!</v>
      </c>
      <c r="P37" s="1">
        <v>184</v>
      </c>
    </row>
    <row r="38" spans="1:16" ht="75" x14ac:dyDescent="0.25">
      <c r="A38" s="3"/>
      <c r="B38">
        <v>8481309908</v>
      </c>
      <c r="C38" t="e">
        <f>VLOOKUP(A38,Лист1!$B$1:$Q$28,5,0)</f>
        <v>#N/A</v>
      </c>
      <c r="D38" s="16"/>
      <c r="E38" s="25" t="e">
        <f>VLOOKUP(A38,Лист1!$B$1:$Q$28,3,0)</f>
        <v>#N/A</v>
      </c>
      <c r="F38" s="25" t="e">
        <f t="shared" si="0"/>
        <v>#N/A</v>
      </c>
      <c r="G38"/>
      <c r="H38" s="20"/>
      <c r="I38" t="s">
        <v>11</v>
      </c>
      <c r="J38" s="3" t="s">
        <v>79</v>
      </c>
      <c r="K38" t="s">
        <v>61</v>
      </c>
      <c r="L38" t="s">
        <v>7</v>
      </c>
      <c r="M38" t="s">
        <v>7</v>
      </c>
      <c r="N38" t="s">
        <v>9</v>
      </c>
      <c r="O38" t="e">
        <f>#REF!+#REF!*0.05</f>
        <v>#REF!</v>
      </c>
      <c r="P38" s="1">
        <v>184</v>
      </c>
    </row>
    <row r="39" spans="1:16" ht="75" x14ac:dyDescent="0.25">
      <c r="A39" s="3"/>
      <c r="B39">
        <v>8481309908</v>
      </c>
      <c r="C39" t="e">
        <f>VLOOKUP(A39,Лист1!$B$1:$Q$28,5,0)</f>
        <v>#N/A</v>
      </c>
      <c r="D39" s="16"/>
      <c r="E39" s="25" t="e">
        <f>VLOOKUP(A39,Лист1!$B$1:$Q$28,3,0)</f>
        <v>#N/A</v>
      </c>
      <c r="F39" s="25" t="e">
        <f t="shared" si="0"/>
        <v>#N/A</v>
      </c>
      <c r="G39"/>
      <c r="H39" s="20"/>
      <c r="I39" t="s">
        <v>11</v>
      </c>
      <c r="J39" s="3" t="s">
        <v>79</v>
      </c>
      <c r="K39" t="s">
        <v>61</v>
      </c>
      <c r="L39" t="s">
        <v>7</v>
      </c>
      <c r="M39" t="s">
        <v>7</v>
      </c>
      <c r="N39" t="s">
        <v>9</v>
      </c>
      <c r="O39" t="e">
        <f>#REF!+#REF!*0.05</f>
        <v>#REF!</v>
      </c>
      <c r="P39" s="1">
        <v>184</v>
      </c>
    </row>
    <row r="40" spans="1:16" ht="75" x14ac:dyDescent="0.25">
      <c r="A40" s="3"/>
      <c r="B40">
        <v>8481309908</v>
      </c>
      <c r="C40" t="e">
        <f>VLOOKUP(A40,Лист1!$B$1:$Q$28,5,0)</f>
        <v>#N/A</v>
      </c>
      <c r="D40" s="16"/>
      <c r="E40" s="25" t="e">
        <f>VLOOKUP(A40,Лист1!$B$1:$Q$28,3,0)</f>
        <v>#N/A</v>
      </c>
      <c r="F40" s="25" t="e">
        <f t="shared" si="0"/>
        <v>#N/A</v>
      </c>
      <c r="G40"/>
      <c r="H40" s="20"/>
      <c r="I40" t="s">
        <v>11</v>
      </c>
      <c r="J40" s="3" t="s">
        <v>79</v>
      </c>
      <c r="K40" t="s">
        <v>61</v>
      </c>
      <c r="L40" t="s">
        <v>7</v>
      </c>
      <c r="M40" t="s">
        <v>7</v>
      </c>
      <c r="N40" t="s">
        <v>9</v>
      </c>
      <c r="O40" t="e">
        <f>#REF!+#REF!*0.05</f>
        <v>#REF!</v>
      </c>
      <c r="P40" s="1">
        <v>184</v>
      </c>
    </row>
    <row r="41" spans="1:16" ht="75" x14ac:dyDescent="0.25">
      <c r="A41" s="3"/>
      <c r="B41">
        <v>8481309908</v>
      </c>
      <c r="C41" t="e">
        <f>VLOOKUP(A41,Лист1!$B$1:$Q$28,5,0)</f>
        <v>#N/A</v>
      </c>
      <c r="D41" s="16"/>
      <c r="E41" s="25" t="e">
        <f>VLOOKUP(A41,Лист1!$B$1:$Q$28,3,0)</f>
        <v>#N/A</v>
      </c>
      <c r="F41" s="25" t="e">
        <f t="shared" si="0"/>
        <v>#N/A</v>
      </c>
      <c r="G41" t="e">
        <f>VLOOKUP(A41,Лист1!$B$1:$Q$28,4,0)</f>
        <v>#N/A</v>
      </c>
      <c r="H41" s="20"/>
      <c r="I41" t="s">
        <v>11</v>
      </c>
      <c r="J41" s="3" t="s">
        <v>79</v>
      </c>
      <c r="K41" t="s">
        <v>61</v>
      </c>
      <c r="L41" t="s">
        <v>7</v>
      </c>
      <c r="M41" t="s">
        <v>7</v>
      </c>
      <c r="N41" t="s">
        <v>9</v>
      </c>
      <c r="O41" t="e">
        <f>#REF!+#REF!*0.05</f>
        <v>#REF!</v>
      </c>
      <c r="P41" s="1">
        <v>184</v>
      </c>
    </row>
    <row r="42" spans="1:16" ht="75" x14ac:dyDescent="0.25">
      <c r="A42" s="3"/>
      <c r="B42">
        <v>8481309908</v>
      </c>
      <c r="C42" t="e">
        <f>VLOOKUP(A42,Лист1!$B$1:$Q$28,5,0)</f>
        <v>#N/A</v>
      </c>
      <c r="D42" s="16"/>
      <c r="E42" s="25" t="e">
        <f>VLOOKUP(A42,Лист1!$B$1:$Q$28,3,0)</f>
        <v>#N/A</v>
      </c>
      <c r="F42" s="25" t="e">
        <f t="shared" si="0"/>
        <v>#N/A</v>
      </c>
      <c r="G42" t="e">
        <f>VLOOKUP(A42,Лист1!$B$1:$Q$28,4,0)</f>
        <v>#N/A</v>
      </c>
      <c r="H42" s="20"/>
      <c r="I42" t="s">
        <v>11</v>
      </c>
      <c r="J42" s="3" t="s">
        <v>79</v>
      </c>
      <c r="K42" t="s">
        <v>61</v>
      </c>
      <c r="L42" t="s">
        <v>7</v>
      </c>
      <c r="M42" t="s">
        <v>7</v>
      </c>
      <c r="N42" t="s">
        <v>9</v>
      </c>
      <c r="O42" t="e">
        <f>#REF!+#REF!*0.05</f>
        <v>#REF!</v>
      </c>
      <c r="P42" s="1">
        <v>184</v>
      </c>
    </row>
    <row r="43" spans="1:16" ht="75" x14ac:dyDescent="0.25">
      <c r="A43" s="3"/>
      <c r="B43">
        <v>8481309908</v>
      </c>
      <c r="C43" t="e">
        <f>VLOOKUP(A43,Лист1!$B$1:$Q$28,5,0)</f>
        <v>#N/A</v>
      </c>
      <c r="D43" s="16"/>
      <c r="E43" s="25" t="e">
        <f>VLOOKUP(A43,Лист1!$B$1:$Q$28,3,0)</f>
        <v>#N/A</v>
      </c>
      <c r="F43" s="25" t="e">
        <f t="shared" si="0"/>
        <v>#N/A</v>
      </c>
      <c r="G43" t="e">
        <f>VLOOKUP(A43,Лист1!$B$1:$Q$28,4,0)</f>
        <v>#N/A</v>
      </c>
      <c r="H43" s="20"/>
      <c r="I43" t="s">
        <v>11</v>
      </c>
      <c r="J43" s="3" t="s">
        <v>79</v>
      </c>
      <c r="K43" t="s">
        <v>61</v>
      </c>
      <c r="L43" t="s">
        <v>7</v>
      </c>
      <c r="M43" t="s">
        <v>7</v>
      </c>
      <c r="N43" t="s">
        <v>9</v>
      </c>
      <c r="O43" t="e">
        <f>#REF!+#REF!*0.05</f>
        <v>#REF!</v>
      </c>
      <c r="P43" s="1">
        <v>184</v>
      </c>
    </row>
    <row r="44" spans="1:16" ht="75" x14ac:dyDescent="0.25">
      <c r="A44" s="3"/>
      <c r="B44">
        <v>8481309908</v>
      </c>
      <c r="C44" t="e">
        <f>VLOOKUP(A44,Лист1!$B$1:$Q$28,5,0)</f>
        <v>#N/A</v>
      </c>
      <c r="D44" s="16"/>
      <c r="E44" s="25" t="e">
        <f>VLOOKUP(A44,Лист1!$B$1:$Q$28,3,0)</f>
        <v>#N/A</v>
      </c>
      <c r="F44" s="25" t="e">
        <f t="shared" si="0"/>
        <v>#N/A</v>
      </c>
      <c r="G44" t="e">
        <f>VLOOKUP(A44,Лист1!$B$1:$Q$28,4,0)</f>
        <v>#N/A</v>
      </c>
      <c r="H44" s="20"/>
      <c r="I44" t="s">
        <v>11</v>
      </c>
      <c r="J44" s="3" t="s">
        <v>79</v>
      </c>
      <c r="K44" t="s">
        <v>61</v>
      </c>
      <c r="L44" t="s">
        <v>7</v>
      </c>
      <c r="M44" t="s">
        <v>7</v>
      </c>
      <c r="N44" t="s">
        <v>9</v>
      </c>
      <c r="O44" t="e">
        <f>#REF!+#REF!*0.05</f>
        <v>#REF!</v>
      </c>
      <c r="P44" s="1">
        <v>184</v>
      </c>
    </row>
    <row r="45" spans="1:16" ht="75" x14ac:dyDescent="0.25">
      <c r="A45" s="3"/>
      <c r="B45">
        <v>8481309908</v>
      </c>
      <c r="C45" t="e">
        <f>VLOOKUP(A45,Лист1!$B$1:$Q$28,5,0)</f>
        <v>#N/A</v>
      </c>
      <c r="D45" s="16"/>
      <c r="E45" s="25" t="e">
        <f>VLOOKUP(A45,Лист1!$B$1:$Q$28,3,0)</f>
        <v>#N/A</v>
      </c>
      <c r="F45" s="25" t="e">
        <f t="shared" si="0"/>
        <v>#N/A</v>
      </c>
      <c r="G45" t="e">
        <f>VLOOKUP(A45,Лист1!$B$1:$Q$28,4,0)</f>
        <v>#N/A</v>
      </c>
      <c r="H45" s="20"/>
      <c r="I45" t="s">
        <v>11</v>
      </c>
      <c r="J45" s="3" t="s">
        <v>79</v>
      </c>
      <c r="K45" t="s">
        <v>61</v>
      </c>
      <c r="L45" t="s">
        <v>7</v>
      </c>
      <c r="M45" t="s">
        <v>7</v>
      </c>
      <c r="N45" t="s">
        <v>9</v>
      </c>
      <c r="O45" t="e">
        <f>#REF!+#REF!*0.05</f>
        <v>#REF!</v>
      </c>
      <c r="P45" s="1">
        <v>184</v>
      </c>
    </row>
    <row r="46" spans="1:16" ht="75" x14ac:dyDescent="0.25">
      <c r="A46" s="3"/>
      <c r="B46">
        <v>8481309908</v>
      </c>
      <c r="C46" t="e">
        <f>VLOOKUP(A46,Лист1!$B$1:$Q$28,5,0)</f>
        <v>#N/A</v>
      </c>
      <c r="D46" s="16"/>
      <c r="E46" s="25" t="e">
        <f>VLOOKUP(A46,Лист1!$B$1:$Q$28,3,0)</f>
        <v>#N/A</v>
      </c>
      <c r="F46" s="25" t="e">
        <f t="shared" si="0"/>
        <v>#N/A</v>
      </c>
      <c r="G46" t="e">
        <f>VLOOKUP(A46,Лист1!$B$1:$Q$28,4,0)</f>
        <v>#N/A</v>
      </c>
      <c r="H46" s="20"/>
      <c r="I46" t="s">
        <v>11</v>
      </c>
      <c r="J46" s="3" t="s">
        <v>79</v>
      </c>
      <c r="K46" t="s">
        <v>61</v>
      </c>
      <c r="L46" t="s">
        <v>7</v>
      </c>
      <c r="M46" t="s">
        <v>7</v>
      </c>
      <c r="N46" t="s">
        <v>9</v>
      </c>
      <c r="O46" t="e">
        <f>#REF!+#REF!*0.05</f>
        <v>#REF!</v>
      </c>
      <c r="P46" s="1">
        <v>184</v>
      </c>
    </row>
    <row r="47" spans="1:16" ht="75" x14ac:dyDescent="0.25">
      <c r="A47" s="3"/>
      <c r="B47">
        <v>8481309908</v>
      </c>
      <c r="C47" t="e">
        <f>VLOOKUP(A47,Лист1!$B$1:$Q$28,5,0)</f>
        <v>#N/A</v>
      </c>
      <c r="D47" s="16"/>
      <c r="E47" s="25" t="e">
        <f>VLOOKUP(A47,Лист1!$B$1:$Q$28,3,0)</f>
        <v>#N/A</v>
      </c>
      <c r="F47" s="25" t="e">
        <f t="shared" ref="F47:F84" si="1">E47*D47</f>
        <v>#N/A</v>
      </c>
      <c r="G47" t="e">
        <f>VLOOKUP(A47,Лист1!$B$1:$Q$28,4,0)</f>
        <v>#N/A</v>
      </c>
      <c r="H47" s="20"/>
      <c r="I47" t="s">
        <v>11</v>
      </c>
      <c r="J47" s="3" t="s">
        <v>79</v>
      </c>
      <c r="K47" t="s">
        <v>61</v>
      </c>
      <c r="L47" t="s">
        <v>7</v>
      </c>
      <c r="M47" t="s">
        <v>7</v>
      </c>
      <c r="N47" t="s">
        <v>9</v>
      </c>
      <c r="O47" t="e">
        <f>#REF!+#REF!*0.05</f>
        <v>#REF!</v>
      </c>
      <c r="P47" s="1">
        <v>184</v>
      </c>
    </row>
    <row r="48" spans="1:16" ht="75" x14ac:dyDescent="0.25">
      <c r="A48" s="3"/>
      <c r="B48">
        <v>8481309908</v>
      </c>
      <c r="C48" t="e">
        <f>VLOOKUP(A48,Лист1!$B$1:$Q$28,5,0)</f>
        <v>#N/A</v>
      </c>
      <c r="D48" s="16"/>
      <c r="E48" s="25" t="e">
        <f>VLOOKUP(A48,Лист1!$B$1:$Q$28,3,0)</f>
        <v>#N/A</v>
      </c>
      <c r="F48" s="25" t="e">
        <f t="shared" si="1"/>
        <v>#N/A</v>
      </c>
      <c r="G48" t="e">
        <f>VLOOKUP(A48,Лист1!$B$1:$Q$28,4,0)</f>
        <v>#N/A</v>
      </c>
      <c r="H48" s="20"/>
      <c r="I48" t="s">
        <v>11</v>
      </c>
      <c r="J48" s="3" t="s">
        <v>79</v>
      </c>
      <c r="K48" t="s">
        <v>61</v>
      </c>
      <c r="L48" t="s">
        <v>7</v>
      </c>
      <c r="M48" t="s">
        <v>7</v>
      </c>
      <c r="N48" t="s">
        <v>9</v>
      </c>
      <c r="O48" t="e">
        <f>#REF!+#REF!*0.05</f>
        <v>#REF!</v>
      </c>
      <c r="P48" s="1">
        <v>184</v>
      </c>
    </row>
    <row r="49" spans="1:16" ht="75" x14ac:dyDescent="0.25">
      <c r="A49" s="3"/>
      <c r="B49">
        <v>8481309908</v>
      </c>
      <c r="C49" t="e">
        <f>VLOOKUP(A49,Лист1!$B$1:$Q$28,5,0)</f>
        <v>#N/A</v>
      </c>
      <c r="D49" s="16"/>
      <c r="E49" s="25" t="e">
        <f>VLOOKUP(A49,Лист1!$B$1:$Q$28,3,0)</f>
        <v>#N/A</v>
      </c>
      <c r="F49" s="25" t="e">
        <f t="shared" si="1"/>
        <v>#N/A</v>
      </c>
      <c r="G49" t="e">
        <f>VLOOKUP(A49,Лист1!$B$1:$Q$28,4,0)</f>
        <v>#N/A</v>
      </c>
      <c r="H49" s="20"/>
      <c r="I49" t="s">
        <v>11</v>
      </c>
      <c r="J49" s="3" t="s">
        <v>79</v>
      </c>
      <c r="K49" t="s">
        <v>61</v>
      </c>
      <c r="L49" t="s">
        <v>7</v>
      </c>
      <c r="M49" t="s">
        <v>7</v>
      </c>
      <c r="N49" t="s">
        <v>9</v>
      </c>
      <c r="O49" t="e">
        <f>#REF!+#REF!*0.05</f>
        <v>#REF!</v>
      </c>
      <c r="P49" s="1">
        <v>184</v>
      </c>
    </row>
    <row r="50" spans="1:16" ht="75" x14ac:dyDescent="0.25">
      <c r="A50" s="3"/>
      <c r="B50">
        <v>8481309908</v>
      </c>
      <c r="C50" t="e">
        <f>VLOOKUP(A50,Лист1!$B$1:$Q$28,5,0)</f>
        <v>#N/A</v>
      </c>
      <c r="D50" s="16"/>
      <c r="E50" s="25" t="e">
        <f>VLOOKUP(A50,Лист1!$B$1:$Q$28,3,0)</f>
        <v>#N/A</v>
      </c>
      <c r="F50" s="25" t="e">
        <f t="shared" si="1"/>
        <v>#N/A</v>
      </c>
      <c r="G50" t="e">
        <f>VLOOKUP(A50,Лист1!$B$1:$Q$28,4,0)</f>
        <v>#N/A</v>
      </c>
      <c r="H50" s="20"/>
      <c r="I50" t="s">
        <v>11</v>
      </c>
      <c r="J50" s="3" t="s">
        <v>79</v>
      </c>
      <c r="K50" t="s">
        <v>61</v>
      </c>
      <c r="L50" t="s">
        <v>7</v>
      </c>
      <c r="M50" t="s">
        <v>7</v>
      </c>
      <c r="N50" t="s">
        <v>9</v>
      </c>
      <c r="O50" t="e">
        <f>#REF!+#REF!*0.05</f>
        <v>#REF!</v>
      </c>
      <c r="P50" s="1">
        <v>184</v>
      </c>
    </row>
    <row r="51" spans="1:16" ht="75" x14ac:dyDescent="0.25">
      <c r="A51" s="3"/>
      <c r="B51">
        <v>8481309908</v>
      </c>
      <c r="C51" t="e">
        <f>VLOOKUP(A51,Лист1!$B$1:$Q$28,5,0)</f>
        <v>#N/A</v>
      </c>
      <c r="D51" s="16"/>
      <c r="E51" s="25" t="e">
        <f>VLOOKUP(A51,Лист1!$B$1:$Q$28,3,0)</f>
        <v>#N/A</v>
      </c>
      <c r="F51" s="25" t="e">
        <f t="shared" si="1"/>
        <v>#N/A</v>
      </c>
      <c r="G51" t="e">
        <f>VLOOKUP(A51,Лист1!$B$1:$Q$28,4,0)</f>
        <v>#N/A</v>
      </c>
      <c r="H51" s="20"/>
      <c r="I51" t="s">
        <v>11</v>
      </c>
      <c r="J51" s="3" t="s">
        <v>79</v>
      </c>
      <c r="K51" t="s">
        <v>61</v>
      </c>
      <c r="L51" t="s">
        <v>7</v>
      </c>
      <c r="M51" t="s">
        <v>7</v>
      </c>
      <c r="N51" t="s">
        <v>9</v>
      </c>
      <c r="O51" t="e">
        <f>#REF!+#REF!*0.05</f>
        <v>#REF!</v>
      </c>
      <c r="P51" s="1">
        <v>184</v>
      </c>
    </row>
    <row r="52" spans="1:16" ht="75" x14ac:dyDescent="0.25">
      <c r="A52" s="3"/>
      <c r="B52">
        <v>8481309908</v>
      </c>
      <c r="C52" t="e">
        <f>VLOOKUP(A52,Лист1!$B$1:$Q$28,5,0)</f>
        <v>#N/A</v>
      </c>
      <c r="D52" s="16"/>
      <c r="E52" s="25" t="e">
        <f>VLOOKUP(A52,Лист1!$B$1:$Q$28,3,0)</f>
        <v>#N/A</v>
      </c>
      <c r="F52" s="25" t="e">
        <f t="shared" si="1"/>
        <v>#N/A</v>
      </c>
      <c r="G52" t="e">
        <f>VLOOKUP(A52,Лист1!$B$1:$Q$28,4,0)</f>
        <v>#N/A</v>
      </c>
      <c r="H52" s="20"/>
      <c r="I52" t="s">
        <v>11</v>
      </c>
      <c r="J52" s="3" t="s">
        <v>79</v>
      </c>
      <c r="K52" t="s">
        <v>61</v>
      </c>
      <c r="L52" t="s">
        <v>7</v>
      </c>
      <c r="M52" t="s">
        <v>7</v>
      </c>
      <c r="N52" t="s">
        <v>9</v>
      </c>
      <c r="O52" t="e">
        <f>#REF!+#REF!*0.05</f>
        <v>#REF!</v>
      </c>
      <c r="P52" s="1">
        <v>184</v>
      </c>
    </row>
    <row r="53" spans="1:16" ht="75" x14ac:dyDescent="0.25">
      <c r="A53" s="3"/>
      <c r="B53">
        <v>8481309908</v>
      </c>
      <c r="C53" t="e">
        <f>VLOOKUP(A53,Лист1!$B$1:$Q$28,5,0)</f>
        <v>#N/A</v>
      </c>
      <c r="D53" s="16"/>
      <c r="E53" s="25" t="e">
        <f>VLOOKUP(A53,Лист1!$B$1:$Q$28,3,0)</f>
        <v>#N/A</v>
      </c>
      <c r="F53" s="25" t="e">
        <f t="shared" si="1"/>
        <v>#N/A</v>
      </c>
      <c r="G53" t="e">
        <f>VLOOKUP(A53,Лист1!$B$1:$Q$28,4,0)</f>
        <v>#N/A</v>
      </c>
      <c r="H53" s="20"/>
      <c r="I53" t="s">
        <v>11</v>
      </c>
      <c r="J53" s="3" t="s">
        <v>79</v>
      </c>
      <c r="K53" t="s">
        <v>61</v>
      </c>
      <c r="L53" t="s">
        <v>7</v>
      </c>
      <c r="M53" t="s">
        <v>7</v>
      </c>
      <c r="N53" t="s">
        <v>9</v>
      </c>
      <c r="O53" t="e">
        <f>#REF!+#REF!*0.05</f>
        <v>#REF!</v>
      </c>
      <c r="P53" s="1">
        <v>184</v>
      </c>
    </row>
    <row r="54" spans="1:16" ht="75" x14ac:dyDescent="0.25">
      <c r="A54" s="3"/>
      <c r="B54">
        <v>8481309908</v>
      </c>
      <c r="C54" t="e">
        <f>VLOOKUP(A54,Лист1!$B$1:$Q$28,5,0)</f>
        <v>#N/A</v>
      </c>
      <c r="D54" s="16"/>
      <c r="E54" s="25" t="e">
        <f>VLOOKUP(A54,Лист1!$B$1:$Q$28,3,0)</f>
        <v>#N/A</v>
      </c>
      <c r="F54" s="25" t="e">
        <f t="shared" si="1"/>
        <v>#N/A</v>
      </c>
      <c r="G54" t="e">
        <f>VLOOKUP(A54,Лист1!$B$1:$Q$28,4,0)</f>
        <v>#N/A</v>
      </c>
      <c r="H54" s="20"/>
      <c r="I54" t="s">
        <v>11</v>
      </c>
      <c r="J54" s="3" t="s">
        <v>79</v>
      </c>
      <c r="K54" t="s">
        <v>61</v>
      </c>
      <c r="L54" t="s">
        <v>7</v>
      </c>
      <c r="M54" t="s">
        <v>7</v>
      </c>
      <c r="N54" t="s">
        <v>9</v>
      </c>
      <c r="O54" t="e">
        <f>#REF!+#REF!*0.05</f>
        <v>#REF!</v>
      </c>
      <c r="P54" s="1">
        <v>184</v>
      </c>
    </row>
    <row r="55" spans="1:16" ht="75" x14ac:dyDescent="0.25">
      <c r="A55" s="3"/>
      <c r="B55">
        <v>8481309908</v>
      </c>
      <c r="C55" t="e">
        <f>VLOOKUP(A55,Лист1!$B$1:$Q$28,5,0)</f>
        <v>#N/A</v>
      </c>
      <c r="D55" s="16"/>
      <c r="E55" s="25" t="e">
        <f>VLOOKUP(A55,Лист1!$B$1:$Q$28,3,0)</f>
        <v>#N/A</v>
      </c>
      <c r="F55" s="25" t="e">
        <f t="shared" si="1"/>
        <v>#N/A</v>
      </c>
      <c r="G55" t="e">
        <f>VLOOKUP(A55,Лист1!$B$1:$Q$28,4,0)</f>
        <v>#N/A</v>
      </c>
      <c r="H55" s="20"/>
      <c r="I55" t="s">
        <v>11</v>
      </c>
      <c r="J55" s="3" t="s">
        <v>79</v>
      </c>
      <c r="K55" t="s">
        <v>61</v>
      </c>
      <c r="L55" t="s">
        <v>7</v>
      </c>
      <c r="M55" t="s">
        <v>7</v>
      </c>
      <c r="N55" t="s">
        <v>9</v>
      </c>
      <c r="O55" t="e">
        <f>#REF!+#REF!*0.05</f>
        <v>#REF!</v>
      </c>
      <c r="P55" s="1">
        <v>184</v>
      </c>
    </row>
    <row r="56" spans="1:16" ht="75" x14ac:dyDescent="0.25">
      <c r="A56" s="3"/>
      <c r="B56">
        <v>8481309908</v>
      </c>
      <c r="C56" t="e">
        <f>VLOOKUP(A56,Лист1!$B$1:$Q$28,5,0)</f>
        <v>#N/A</v>
      </c>
      <c r="D56" s="16"/>
      <c r="E56" s="25" t="e">
        <f>VLOOKUP(A56,Лист1!$B$1:$Q$28,3,0)</f>
        <v>#N/A</v>
      </c>
      <c r="F56" s="25" t="e">
        <f t="shared" si="1"/>
        <v>#N/A</v>
      </c>
      <c r="G56" t="e">
        <f>VLOOKUP(A56,Лист1!$B$1:$Q$28,4,0)</f>
        <v>#N/A</v>
      </c>
      <c r="H56" s="20"/>
      <c r="I56" t="s">
        <v>11</v>
      </c>
      <c r="J56" s="3" t="s">
        <v>79</v>
      </c>
      <c r="K56" t="s">
        <v>61</v>
      </c>
      <c r="L56" t="s">
        <v>7</v>
      </c>
      <c r="M56" t="s">
        <v>7</v>
      </c>
      <c r="N56" t="s">
        <v>9</v>
      </c>
      <c r="O56" t="e">
        <f>#REF!+#REF!*0.05</f>
        <v>#REF!</v>
      </c>
      <c r="P56" s="1">
        <v>184</v>
      </c>
    </row>
    <row r="57" spans="1:16" ht="75" x14ac:dyDescent="0.25">
      <c r="A57" s="3"/>
      <c r="B57">
        <v>8481309908</v>
      </c>
      <c r="C57" t="e">
        <f>VLOOKUP(A57,Лист1!$B$1:$Q$28,5,0)</f>
        <v>#N/A</v>
      </c>
      <c r="D57" s="16"/>
      <c r="E57" s="25" t="e">
        <f>VLOOKUP(A57,Лист1!$B$1:$Q$28,3,0)</f>
        <v>#N/A</v>
      </c>
      <c r="F57" s="25" t="e">
        <f t="shared" si="1"/>
        <v>#N/A</v>
      </c>
      <c r="G57" t="e">
        <f>VLOOKUP(A57,Лист1!$B$1:$Q$28,4,0)</f>
        <v>#N/A</v>
      </c>
      <c r="H57" s="20"/>
      <c r="I57" t="s">
        <v>11</v>
      </c>
      <c r="J57" s="3" t="s">
        <v>79</v>
      </c>
      <c r="K57" t="s">
        <v>61</v>
      </c>
      <c r="L57" t="s">
        <v>7</v>
      </c>
      <c r="M57" t="s">
        <v>7</v>
      </c>
      <c r="N57" t="s">
        <v>9</v>
      </c>
      <c r="O57" t="e">
        <f>#REF!+#REF!*0.05</f>
        <v>#REF!</v>
      </c>
      <c r="P57" s="1">
        <v>184</v>
      </c>
    </row>
    <row r="58" spans="1:16" ht="75" x14ac:dyDescent="0.25">
      <c r="A58" s="3"/>
      <c r="B58">
        <v>8481309908</v>
      </c>
      <c r="C58" t="e">
        <f>VLOOKUP(A58,Лист1!$B$1:$Q$28,5,0)</f>
        <v>#N/A</v>
      </c>
      <c r="D58" s="16"/>
      <c r="E58" s="25" t="e">
        <f>VLOOKUP(A58,Лист1!$B$1:$Q$28,3,0)</f>
        <v>#N/A</v>
      </c>
      <c r="F58" s="25" t="e">
        <f t="shared" si="1"/>
        <v>#N/A</v>
      </c>
      <c r="G58" t="e">
        <f>VLOOKUP(A58,Лист1!$B$1:$Q$28,4,0)</f>
        <v>#N/A</v>
      </c>
      <c r="H58" s="20"/>
      <c r="I58" t="s">
        <v>11</v>
      </c>
      <c r="J58" s="3" t="s">
        <v>79</v>
      </c>
      <c r="K58" t="s">
        <v>61</v>
      </c>
      <c r="L58" t="s">
        <v>7</v>
      </c>
      <c r="M58" t="s">
        <v>7</v>
      </c>
      <c r="N58" t="s">
        <v>9</v>
      </c>
      <c r="O58" t="e">
        <f>#REF!+#REF!*0.05</f>
        <v>#REF!</v>
      </c>
      <c r="P58" s="1">
        <v>184</v>
      </c>
    </row>
    <row r="59" spans="1:16" ht="75" x14ac:dyDescent="0.25">
      <c r="A59" s="3"/>
      <c r="B59">
        <v>8481309908</v>
      </c>
      <c r="C59" t="e">
        <f>VLOOKUP(A59,Лист1!$B$1:$Q$28,5,0)</f>
        <v>#N/A</v>
      </c>
      <c r="D59" s="16"/>
      <c r="E59" s="25" t="e">
        <f>VLOOKUP(A59,Лист1!$B$1:$Q$28,3,0)</f>
        <v>#N/A</v>
      </c>
      <c r="F59" s="25" t="e">
        <f t="shared" si="1"/>
        <v>#N/A</v>
      </c>
      <c r="G59" t="e">
        <f>VLOOKUP(A59,Лист1!$B$1:$Q$28,4,0)</f>
        <v>#N/A</v>
      </c>
      <c r="H59" s="20"/>
      <c r="I59" t="s">
        <v>11</v>
      </c>
      <c r="J59" s="3" t="s">
        <v>79</v>
      </c>
      <c r="K59" t="s">
        <v>61</v>
      </c>
      <c r="L59" t="s">
        <v>7</v>
      </c>
      <c r="M59" t="s">
        <v>7</v>
      </c>
      <c r="N59" t="s">
        <v>9</v>
      </c>
      <c r="O59" t="e">
        <f>#REF!+#REF!*0.05</f>
        <v>#REF!</v>
      </c>
      <c r="P59" s="1">
        <v>184</v>
      </c>
    </row>
    <row r="60" spans="1:16" ht="75" x14ac:dyDescent="0.25">
      <c r="A60" s="3"/>
      <c r="B60">
        <v>8481309908</v>
      </c>
      <c r="C60" t="e">
        <f>VLOOKUP(A60,Лист1!$B$1:$Q$28,5,0)</f>
        <v>#N/A</v>
      </c>
      <c r="D60" s="16"/>
      <c r="E60" s="25" t="e">
        <f>VLOOKUP(A60,Лист1!$B$1:$Q$28,3,0)</f>
        <v>#N/A</v>
      </c>
      <c r="F60" s="25" t="e">
        <f t="shared" si="1"/>
        <v>#N/A</v>
      </c>
      <c r="G60" t="e">
        <f>VLOOKUP(A60,Лист1!$B$1:$Q$28,4,0)</f>
        <v>#N/A</v>
      </c>
      <c r="H60" s="20"/>
      <c r="I60" t="s">
        <v>11</v>
      </c>
      <c r="J60" s="3" t="s">
        <v>79</v>
      </c>
      <c r="K60" t="s">
        <v>61</v>
      </c>
      <c r="L60" t="s">
        <v>7</v>
      </c>
      <c r="M60" t="s">
        <v>7</v>
      </c>
      <c r="N60" t="s">
        <v>9</v>
      </c>
      <c r="O60" t="e">
        <f>#REF!+#REF!*0.05</f>
        <v>#REF!</v>
      </c>
      <c r="P60" s="1">
        <v>184</v>
      </c>
    </row>
    <row r="61" spans="1:16" ht="75" x14ac:dyDescent="0.25">
      <c r="A61" s="3"/>
      <c r="B61">
        <v>8481309908</v>
      </c>
      <c r="C61" t="e">
        <f>VLOOKUP(A61,Лист1!$B$1:$Q$28,5,0)</f>
        <v>#N/A</v>
      </c>
      <c r="D61" s="16"/>
      <c r="E61" s="25" t="e">
        <f>VLOOKUP(A61,Лист1!$B$1:$Q$28,3,0)</f>
        <v>#N/A</v>
      </c>
      <c r="F61" s="25" t="e">
        <f t="shared" si="1"/>
        <v>#N/A</v>
      </c>
      <c r="G61" t="e">
        <f>VLOOKUP(A61,Лист1!$B$1:$Q$28,4,0)</f>
        <v>#N/A</v>
      </c>
      <c r="H61" s="20"/>
      <c r="I61" t="s">
        <v>11</v>
      </c>
      <c r="J61" s="3" t="s">
        <v>79</v>
      </c>
      <c r="K61" t="s">
        <v>61</v>
      </c>
      <c r="L61" t="s">
        <v>7</v>
      </c>
      <c r="M61" t="s">
        <v>7</v>
      </c>
      <c r="N61" t="s">
        <v>9</v>
      </c>
      <c r="O61" t="e">
        <f>#REF!+#REF!*0.05</f>
        <v>#REF!</v>
      </c>
      <c r="P61" s="1">
        <v>184</v>
      </c>
    </row>
    <row r="62" spans="1:16" ht="75" x14ac:dyDescent="0.25">
      <c r="A62" s="3"/>
      <c r="B62">
        <v>8481309908</v>
      </c>
      <c r="C62" t="e">
        <f>VLOOKUP(A62,Лист1!$B$1:$Q$28,5,0)</f>
        <v>#N/A</v>
      </c>
      <c r="D62" s="16"/>
      <c r="E62" s="25" t="e">
        <f>VLOOKUP(A62,Лист1!$B$1:$Q$28,3,0)</f>
        <v>#N/A</v>
      </c>
      <c r="F62" s="25" t="e">
        <f t="shared" si="1"/>
        <v>#N/A</v>
      </c>
      <c r="G62" t="e">
        <f>VLOOKUP(A62,Лист1!$B$1:$Q$28,4,0)</f>
        <v>#N/A</v>
      </c>
      <c r="H62" s="20"/>
      <c r="I62" t="s">
        <v>11</v>
      </c>
      <c r="J62" s="3" t="s">
        <v>79</v>
      </c>
      <c r="K62" t="s">
        <v>61</v>
      </c>
      <c r="L62" t="s">
        <v>7</v>
      </c>
      <c r="M62" t="s">
        <v>7</v>
      </c>
      <c r="N62" t="s">
        <v>9</v>
      </c>
      <c r="O62" t="e">
        <f>#REF!+#REF!*0.05</f>
        <v>#REF!</v>
      </c>
      <c r="P62" s="1">
        <v>184</v>
      </c>
    </row>
    <row r="63" spans="1:16" ht="75" x14ac:dyDescent="0.25">
      <c r="A63" s="3"/>
      <c r="B63">
        <v>8481309908</v>
      </c>
      <c r="C63" t="e">
        <f>VLOOKUP(A63,Лист1!$B$1:$Q$28,5,0)</f>
        <v>#N/A</v>
      </c>
      <c r="D63" s="16"/>
      <c r="E63" s="25" t="e">
        <f>VLOOKUP(A63,Лист1!$B$1:$Q$28,3,0)</f>
        <v>#N/A</v>
      </c>
      <c r="F63" s="25" t="e">
        <f t="shared" si="1"/>
        <v>#N/A</v>
      </c>
      <c r="G63" t="e">
        <f>VLOOKUP(A63,Лист1!$B$1:$Q$28,4,0)</f>
        <v>#N/A</v>
      </c>
      <c r="H63" s="20"/>
      <c r="I63" t="s">
        <v>11</v>
      </c>
      <c r="J63" s="3" t="s">
        <v>79</v>
      </c>
      <c r="K63" t="s">
        <v>61</v>
      </c>
      <c r="L63" t="s">
        <v>7</v>
      </c>
      <c r="M63" t="s">
        <v>7</v>
      </c>
      <c r="N63" t="s">
        <v>9</v>
      </c>
      <c r="O63" t="e">
        <f>#REF!+#REF!*0.05</f>
        <v>#REF!</v>
      </c>
      <c r="P63" s="1">
        <v>184</v>
      </c>
    </row>
    <row r="64" spans="1:16" ht="75" x14ac:dyDescent="0.25">
      <c r="A64" s="3"/>
      <c r="B64">
        <v>8481309908</v>
      </c>
      <c r="C64" t="e">
        <f>VLOOKUP(A64,Лист1!$B$1:$Q$28,5,0)</f>
        <v>#N/A</v>
      </c>
      <c r="D64" s="16"/>
      <c r="E64" s="25" t="e">
        <f>VLOOKUP(A64,Лист1!$B$1:$Q$28,3,0)</f>
        <v>#N/A</v>
      </c>
      <c r="F64" s="25" t="e">
        <f t="shared" si="1"/>
        <v>#N/A</v>
      </c>
      <c r="G64" t="e">
        <f>VLOOKUP(A64,Лист1!$B$1:$Q$28,4,0)</f>
        <v>#N/A</v>
      </c>
      <c r="H64" s="20"/>
      <c r="I64" t="s">
        <v>11</v>
      </c>
      <c r="J64" s="3" t="s">
        <v>79</v>
      </c>
      <c r="K64" t="s">
        <v>61</v>
      </c>
      <c r="L64" t="s">
        <v>7</v>
      </c>
      <c r="M64" t="s">
        <v>7</v>
      </c>
      <c r="N64" t="s">
        <v>9</v>
      </c>
      <c r="O64" t="e">
        <f>#REF!+#REF!*0.05</f>
        <v>#REF!</v>
      </c>
      <c r="P64" s="1">
        <v>184</v>
      </c>
    </row>
    <row r="65" spans="1:16" ht="75" x14ac:dyDescent="0.25">
      <c r="A65" s="3"/>
      <c r="B65">
        <v>8481309908</v>
      </c>
      <c r="C65" t="e">
        <f>VLOOKUP(A65,Лист1!$B$1:$Q$28,5,0)</f>
        <v>#N/A</v>
      </c>
      <c r="D65" s="16"/>
      <c r="E65" s="25" t="e">
        <f>VLOOKUP(A65,Лист1!$B$1:$Q$28,3,0)</f>
        <v>#N/A</v>
      </c>
      <c r="F65" s="25" t="e">
        <f t="shared" si="1"/>
        <v>#N/A</v>
      </c>
      <c r="G65" t="e">
        <f>VLOOKUP(A65,Лист1!$B$1:$Q$28,4,0)</f>
        <v>#N/A</v>
      </c>
      <c r="H65" s="20"/>
      <c r="I65" t="s">
        <v>11</v>
      </c>
      <c r="J65" s="3" t="s">
        <v>79</v>
      </c>
      <c r="K65" t="s">
        <v>61</v>
      </c>
      <c r="L65" t="s">
        <v>7</v>
      </c>
      <c r="M65" t="s">
        <v>7</v>
      </c>
      <c r="N65" t="s">
        <v>9</v>
      </c>
      <c r="O65" t="e">
        <f>#REF!+#REF!*0.05</f>
        <v>#REF!</v>
      </c>
      <c r="P65" s="1">
        <v>184</v>
      </c>
    </row>
    <row r="66" spans="1:16" ht="75" x14ac:dyDescent="0.25">
      <c r="A66" s="3"/>
      <c r="B66">
        <v>8481309908</v>
      </c>
      <c r="C66" t="e">
        <f>VLOOKUP(A66,Лист1!$B$1:$Q$28,5,0)</f>
        <v>#N/A</v>
      </c>
      <c r="D66" s="16"/>
      <c r="E66" s="25" t="e">
        <f>VLOOKUP(A66,Лист1!$B$1:$Q$28,3,0)</f>
        <v>#N/A</v>
      </c>
      <c r="F66" s="25" t="e">
        <f t="shared" si="1"/>
        <v>#N/A</v>
      </c>
      <c r="G66" t="e">
        <f>VLOOKUP(A66,Лист1!$B$1:$Q$28,4,0)</f>
        <v>#N/A</v>
      </c>
      <c r="H66" s="20"/>
      <c r="I66" t="s">
        <v>11</v>
      </c>
      <c r="J66" s="3" t="s">
        <v>79</v>
      </c>
      <c r="K66" t="s">
        <v>61</v>
      </c>
      <c r="L66" t="s">
        <v>7</v>
      </c>
      <c r="M66" t="s">
        <v>7</v>
      </c>
      <c r="N66" t="s">
        <v>9</v>
      </c>
      <c r="O66" t="e">
        <f>#REF!+#REF!*0.05</f>
        <v>#REF!</v>
      </c>
      <c r="P66" s="1">
        <v>184</v>
      </c>
    </row>
    <row r="67" spans="1:16" ht="75" x14ac:dyDescent="0.25">
      <c r="A67" s="3"/>
      <c r="B67" t="e">
        <f>VLOOKUP(A67,Лист1!$B$1:$Q$28,2,0)</f>
        <v>#N/A</v>
      </c>
      <c r="C67" t="e">
        <f>VLOOKUP(A67,Лист1!$B$1:$Q$28,5,0)</f>
        <v>#N/A</v>
      </c>
      <c r="D67" s="16"/>
      <c r="E67" s="25" t="e">
        <f>VLOOKUP(A67,Лист1!$B$1:$Q$28,3,0)</f>
        <v>#N/A</v>
      </c>
      <c r="F67" s="25" t="e">
        <f t="shared" si="1"/>
        <v>#N/A</v>
      </c>
      <c r="G67" t="e">
        <f>VLOOKUP(A67,Лист1!$B$1:$Q$28,4,0)</f>
        <v>#N/A</v>
      </c>
      <c r="H67" s="20"/>
      <c r="I67" t="s">
        <v>11</v>
      </c>
      <c r="J67" s="3" t="s">
        <v>79</v>
      </c>
      <c r="K67" t="s">
        <v>61</v>
      </c>
      <c r="L67" t="s">
        <v>7</v>
      </c>
      <c r="M67" t="s">
        <v>7</v>
      </c>
      <c r="N67" t="s">
        <v>9</v>
      </c>
      <c r="O67" t="e">
        <f>#REF!+#REF!*0.05</f>
        <v>#REF!</v>
      </c>
      <c r="P67" s="1">
        <v>184</v>
      </c>
    </row>
    <row r="68" spans="1:16" ht="75" x14ac:dyDescent="0.25">
      <c r="A68" s="3"/>
      <c r="B68" t="e">
        <f>VLOOKUP(A68,Лист1!$B$1:$Q$28,2,0)</f>
        <v>#N/A</v>
      </c>
      <c r="C68" t="e">
        <f>VLOOKUP(A68,Лист1!$B$1:$Q$28,5,0)</f>
        <v>#N/A</v>
      </c>
      <c r="D68" s="16"/>
      <c r="E68" s="25" t="e">
        <f>VLOOKUP(A68,Лист1!$B$1:$Q$28,3,0)</f>
        <v>#N/A</v>
      </c>
      <c r="F68" s="25" t="e">
        <f t="shared" si="1"/>
        <v>#N/A</v>
      </c>
      <c r="G68" t="e">
        <f>VLOOKUP(A68,Лист1!$B$1:$Q$28,4,0)</f>
        <v>#N/A</v>
      </c>
      <c r="H68" s="20"/>
      <c r="I68" t="s">
        <v>11</v>
      </c>
      <c r="J68" s="3" t="s">
        <v>79</v>
      </c>
      <c r="K68" t="s">
        <v>61</v>
      </c>
      <c r="L68" t="s">
        <v>7</v>
      </c>
      <c r="M68" t="s">
        <v>7</v>
      </c>
      <c r="N68" t="s">
        <v>9</v>
      </c>
      <c r="O68" t="e">
        <f>#REF!+#REF!*0.05</f>
        <v>#REF!</v>
      </c>
      <c r="P68" s="1">
        <v>184</v>
      </c>
    </row>
    <row r="69" spans="1:16" ht="75" x14ac:dyDescent="0.25">
      <c r="A69" s="3"/>
      <c r="B69" t="e">
        <f>VLOOKUP(A69,Лист1!$B$1:$Q$28,2,0)</f>
        <v>#N/A</v>
      </c>
      <c r="C69" t="e">
        <f>VLOOKUP(A69,Лист1!$B$1:$Q$28,5,0)</f>
        <v>#N/A</v>
      </c>
      <c r="D69" s="16"/>
      <c r="E69" s="25" t="e">
        <f>VLOOKUP(A69,Лист1!$B$1:$Q$28,3,0)</f>
        <v>#N/A</v>
      </c>
      <c r="F69" s="25" t="e">
        <f t="shared" si="1"/>
        <v>#N/A</v>
      </c>
      <c r="G69" t="e">
        <f>VLOOKUP(A69,Лист1!$B$1:$Q$28,4,0)</f>
        <v>#N/A</v>
      </c>
      <c r="H69" s="20"/>
      <c r="I69" t="s">
        <v>11</v>
      </c>
      <c r="J69" s="3" t="s">
        <v>79</v>
      </c>
      <c r="K69" t="s">
        <v>61</v>
      </c>
      <c r="L69" t="s">
        <v>7</v>
      </c>
      <c r="M69" t="s">
        <v>7</v>
      </c>
      <c r="N69" t="s">
        <v>9</v>
      </c>
      <c r="O69" t="e">
        <f>#REF!+#REF!*0.05</f>
        <v>#REF!</v>
      </c>
      <c r="P69" s="1">
        <v>184</v>
      </c>
    </row>
    <row r="70" spans="1:16" ht="75" x14ac:dyDescent="0.25">
      <c r="A70" s="3"/>
      <c r="B70" t="e">
        <f>VLOOKUP(A70,Лист1!$B$1:$Q$28,2,0)</f>
        <v>#N/A</v>
      </c>
      <c r="C70" t="e">
        <f>VLOOKUP(A70,Лист1!$B$1:$Q$28,5,0)</f>
        <v>#N/A</v>
      </c>
      <c r="D70" s="16"/>
      <c r="E70" s="25" t="e">
        <f>VLOOKUP(A70,Лист1!$B$1:$Q$28,3,0)</f>
        <v>#N/A</v>
      </c>
      <c r="F70" s="25" t="e">
        <f t="shared" si="1"/>
        <v>#N/A</v>
      </c>
      <c r="G70" t="e">
        <f>VLOOKUP(A70,Лист1!$B$1:$Q$28,4,0)</f>
        <v>#N/A</v>
      </c>
      <c r="H70" s="20"/>
      <c r="I70" t="s">
        <v>11</v>
      </c>
      <c r="J70" s="3" t="s">
        <v>79</v>
      </c>
      <c r="K70" t="s">
        <v>61</v>
      </c>
      <c r="L70" t="s">
        <v>7</v>
      </c>
      <c r="M70" t="s">
        <v>7</v>
      </c>
      <c r="N70" t="s">
        <v>9</v>
      </c>
      <c r="O70" t="e">
        <f>#REF!+#REF!*0.05</f>
        <v>#REF!</v>
      </c>
      <c r="P70" s="1">
        <v>184</v>
      </c>
    </row>
    <row r="71" spans="1:16" ht="75" x14ac:dyDescent="0.25">
      <c r="A71" s="3"/>
      <c r="B71" t="e">
        <f>VLOOKUP(A71,Лист1!$B$1:$Q$28,2,0)</f>
        <v>#N/A</v>
      </c>
      <c r="C71" t="e">
        <f>VLOOKUP(A71,Лист1!$B$1:$Q$28,5,0)</f>
        <v>#N/A</v>
      </c>
      <c r="D71" s="16"/>
      <c r="E71" s="25" t="e">
        <f>VLOOKUP(A71,Лист1!$B$1:$Q$28,3,0)</f>
        <v>#N/A</v>
      </c>
      <c r="F71" s="25" t="e">
        <f t="shared" si="1"/>
        <v>#N/A</v>
      </c>
      <c r="G71" t="e">
        <f>VLOOKUP(A71,Лист1!$B$1:$Q$28,4,0)</f>
        <v>#N/A</v>
      </c>
      <c r="H71" s="20"/>
      <c r="I71" t="s">
        <v>11</v>
      </c>
      <c r="J71" s="3" t="s">
        <v>79</v>
      </c>
      <c r="K71" t="s">
        <v>61</v>
      </c>
      <c r="L71" t="s">
        <v>7</v>
      </c>
      <c r="M71" t="s">
        <v>7</v>
      </c>
      <c r="N71" t="s">
        <v>9</v>
      </c>
      <c r="O71" t="e">
        <f>#REF!+#REF!*0.05</f>
        <v>#REF!</v>
      </c>
      <c r="P71" s="1">
        <v>184</v>
      </c>
    </row>
    <row r="72" spans="1:16" ht="75" x14ac:dyDescent="0.25">
      <c r="A72" s="3"/>
      <c r="B72" t="e">
        <f>VLOOKUP(A72,Лист1!$B$1:$Q$28,2,0)</f>
        <v>#N/A</v>
      </c>
      <c r="C72" t="e">
        <f>VLOOKUP(A72,Лист1!$B$1:$Q$28,5,0)</f>
        <v>#N/A</v>
      </c>
      <c r="D72" s="16"/>
      <c r="E72" s="25" t="e">
        <f>VLOOKUP(A72,Лист1!$B$1:$Q$28,3,0)</f>
        <v>#N/A</v>
      </c>
      <c r="F72" s="25" t="e">
        <f t="shared" si="1"/>
        <v>#N/A</v>
      </c>
      <c r="G72" t="e">
        <f>VLOOKUP(A72,Лист1!$B$1:$Q$28,4,0)</f>
        <v>#N/A</v>
      </c>
      <c r="H72" s="20"/>
      <c r="I72" t="s">
        <v>11</v>
      </c>
      <c r="J72" s="3" t="s">
        <v>79</v>
      </c>
      <c r="K72" t="s">
        <v>61</v>
      </c>
      <c r="L72" t="s">
        <v>7</v>
      </c>
      <c r="M72" t="s">
        <v>7</v>
      </c>
      <c r="N72" t="s">
        <v>9</v>
      </c>
      <c r="O72" t="e">
        <f>#REF!+#REF!*0.05</f>
        <v>#REF!</v>
      </c>
      <c r="P72" s="1">
        <v>184</v>
      </c>
    </row>
    <row r="73" spans="1:16" ht="75" x14ac:dyDescent="0.25">
      <c r="A73" s="3"/>
      <c r="B73" t="e">
        <f>VLOOKUP(A73,Лист1!$B$1:$Q$28,2,0)</f>
        <v>#N/A</v>
      </c>
      <c r="C73" t="e">
        <f>VLOOKUP(A73,Лист1!$B$1:$Q$28,5,0)</f>
        <v>#N/A</v>
      </c>
      <c r="D73" s="16"/>
      <c r="E73" s="25" t="e">
        <f>VLOOKUP(A73,Лист1!$B$1:$Q$28,3,0)</f>
        <v>#N/A</v>
      </c>
      <c r="F73" s="25" t="e">
        <f t="shared" si="1"/>
        <v>#N/A</v>
      </c>
      <c r="G73" t="e">
        <f>VLOOKUP(A73,Лист1!$B$1:$Q$28,4,0)</f>
        <v>#N/A</v>
      </c>
      <c r="H73" s="20"/>
      <c r="I73" t="s">
        <v>11</v>
      </c>
      <c r="J73" s="3" t="s">
        <v>79</v>
      </c>
      <c r="K73" t="s">
        <v>61</v>
      </c>
      <c r="L73" t="s">
        <v>7</v>
      </c>
      <c r="M73" t="s">
        <v>7</v>
      </c>
      <c r="N73" t="s">
        <v>9</v>
      </c>
      <c r="O73" t="e">
        <f>#REF!+#REF!*0.05</f>
        <v>#REF!</v>
      </c>
      <c r="P73" s="1">
        <v>184</v>
      </c>
    </row>
    <row r="74" spans="1:16" ht="75" x14ac:dyDescent="0.25">
      <c r="A74" s="3"/>
      <c r="B74" t="e">
        <f>VLOOKUP(A74,Лист1!$B$1:$Q$28,2,0)</f>
        <v>#N/A</v>
      </c>
      <c r="C74" t="e">
        <f>VLOOKUP(A74,Лист1!$B$1:$Q$28,5,0)</f>
        <v>#N/A</v>
      </c>
      <c r="D74" s="16"/>
      <c r="E74" s="25" t="e">
        <f>VLOOKUP(A74,Лист1!$B$1:$Q$28,3,0)</f>
        <v>#N/A</v>
      </c>
      <c r="F74" s="25" t="e">
        <f t="shared" si="1"/>
        <v>#N/A</v>
      </c>
      <c r="G74" t="e">
        <f>VLOOKUP(A74,Лист1!$B$1:$Q$28,4,0)</f>
        <v>#N/A</v>
      </c>
      <c r="H74" s="20"/>
      <c r="I74" t="s">
        <v>11</v>
      </c>
      <c r="J74" s="3" t="s">
        <v>79</v>
      </c>
      <c r="K74" t="s">
        <v>61</v>
      </c>
      <c r="L74" t="s">
        <v>7</v>
      </c>
      <c r="M74" t="s">
        <v>7</v>
      </c>
      <c r="N74" t="s">
        <v>9</v>
      </c>
      <c r="O74" t="e">
        <f>#REF!+#REF!*0.05</f>
        <v>#REF!</v>
      </c>
      <c r="P74" s="1">
        <v>184</v>
      </c>
    </row>
    <row r="75" spans="1:16" ht="75" x14ac:dyDescent="0.25">
      <c r="A75" s="3"/>
      <c r="B75" t="e">
        <f>VLOOKUP(A75,Лист1!$B$1:$Q$28,2,0)</f>
        <v>#N/A</v>
      </c>
      <c r="C75" t="e">
        <f>VLOOKUP(A75,Лист1!$B$1:$Q$28,5,0)</f>
        <v>#N/A</v>
      </c>
      <c r="D75" s="16"/>
      <c r="E75" s="25" t="e">
        <f>VLOOKUP(A75,Лист1!$B$1:$Q$28,3,0)</f>
        <v>#N/A</v>
      </c>
      <c r="F75" s="25" t="e">
        <f t="shared" si="1"/>
        <v>#N/A</v>
      </c>
      <c r="G75" t="e">
        <f>VLOOKUP(A75,Лист1!$B$1:$Q$28,4,0)</f>
        <v>#N/A</v>
      </c>
      <c r="H75" s="20"/>
      <c r="I75" t="s">
        <v>11</v>
      </c>
      <c r="J75" s="3" t="s">
        <v>79</v>
      </c>
      <c r="K75" t="s">
        <v>61</v>
      </c>
      <c r="L75" t="s">
        <v>7</v>
      </c>
      <c r="M75" t="s">
        <v>7</v>
      </c>
      <c r="N75" t="s">
        <v>9</v>
      </c>
      <c r="O75" t="e">
        <f>#REF!+#REF!*0.05</f>
        <v>#REF!</v>
      </c>
      <c r="P75" s="1">
        <v>184</v>
      </c>
    </row>
    <row r="76" spans="1:16" ht="75" x14ac:dyDescent="0.25">
      <c r="A76" s="3"/>
      <c r="B76" t="e">
        <f>VLOOKUP(A76,Лист1!$B$1:$Q$28,2,0)</f>
        <v>#N/A</v>
      </c>
      <c r="C76" t="e">
        <f>VLOOKUP(A76,Лист1!$B$1:$Q$28,5,0)</f>
        <v>#N/A</v>
      </c>
      <c r="D76" s="16"/>
      <c r="E76" s="25" t="e">
        <f>VLOOKUP(A76,Лист1!$B$1:$Q$28,3,0)</f>
        <v>#N/A</v>
      </c>
      <c r="F76" s="25" t="e">
        <f t="shared" si="1"/>
        <v>#N/A</v>
      </c>
      <c r="G76" t="e">
        <f>VLOOKUP(A76,Лист1!$B$1:$Q$28,4,0)</f>
        <v>#N/A</v>
      </c>
      <c r="H76" s="20"/>
      <c r="I76" t="s">
        <v>11</v>
      </c>
      <c r="J76" s="3" t="s">
        <v>79</v>
      </c>
      <c r="K76" t="s">
        <v>61</v>
      </c>
      <c r="L76" t="s">
        <v>7</v>
      </c>
      <c r="M76" t="s">
        <v>7</v>
      </c>
      <c r="N76" t="s">
        <v>9</v>
      </c>
      <c r="O76" t="e">
        <f>#REF!+#REF!*0.05</f>
        <v>#REF!</v>
      </c>
      <c r="P76" s="1">
        <v>184</v>
      </c>
    </row>
    <row r="77" spans="1:16" ht="75" x14ac:dyDescent="0.25">
      <c r="A77" s="3"/>
      <c r="B77" t="e">
        <f>VLOOKUP(A77,Лист1!$B$1:$Q$28,2,0)</f>
        <v>#N/A</v>
      </c>
      <c r="C77" t="e">
        <f>VLOOKUP(A77,Лист1!$B$1:$Q$28,5,0)</f>
        <v>#N/A</v>
      </c>
      <c r="D77" s="16"/>
      <c r="E77" s="25" t="e">
        <f>VLOOKUP(A77,Лист1!$B$1:$Q$28,3,0)</f>
        <v>#N/A</v>
      </c>
      <c r="F77" s="25" t="e">
        <f t="shared" si="1"/>
        <v>#N/A</v>
      </c>
      <c r="G77" t="e">
        <f>VLOOKUP(A77,Лист1!$B$1:$Q$28,4,0)</f>
        <v>#N/A</v>
      </c>
      <c r="H77" s="20"/>
      <c r="I77" t="s">
        <v>11</v>
      </c>
      <c r="J77" s="3" t="s">
        <v>79</v>
      </c>
      <c r="K77" t="s">
        <v>61</v>
      </c>
      <c r="L77" t="s">
        <v>7</v>
      </c>
      <c r="M77" t="s">
        <v>7</v>
      </c>
      <c r="N77" t="s">
        <v>9</v>
      </c>
      <c r="O77" t="e">
        <f>#REF!+#REF!*0.05</f>
        <v>#REF!</v>
      </c>
      <c r="P77" s="1">
        <v>184</v>
      </c>
    </row>
    <row r="78" spans="1:16" ht="75" x14ac:dyDescent="0.25">
      <c r="A78" s="3"/>
      <c r="B78" t="e">
        <f>VLOOKUP(A78,Лист1!$B$1:$Q$28,2,0)</f>
        <v>#N/A</v>
      </c>
      <c r="C78" t="e">
        <f>VLOOKUP(A78,Лист1!$B$1:$Q$28,5,0)</f>
        <v>#N/A</v>
      </c>
      <c r="D78" s="16"/>
      <c r="E78" s="25" t="e">
        <f>VLOOKUP(A78,Лист1!$B$1:$Q$28,3,0)</f>
        <v>#N/A</v>
      </c>
      <c r="F78" s="25" t="e">
        <f t="shared" si="1"/>
        <v>#N/A</v>
      </c>
      <c r="G78" t="e">
        <f>VLOOKUP(A78,Лист1!$B$1:$Q$28,4,0)</f>
        <v>#N/A</v>
      </c>
      <c r="H78" s="20"/>
      <c r="I78" t="s">
        <v>11</v>
      </c>
      <c r="J78" s="3" t="s">
        <v>79</v>
      </c>
      <c r="K78" t="s">
        <v>61</v>
      </c>
      <c r="L78" t="s">
        <v>7</v>
      </c>
      <c r="M78" t="s">
        <v>7</v>
      </c>
      <c r="N78" t="s">
        <v>9</v>
      </c>
      <c r="O78" t="e">
        <f>#REF!+#REF!*0.05</f>
        <v>#REF!</v>
      </c>
      <c r="P78" s="1">
        <v>184</v>
      </c>
    </row>
    <row r="79" spans="1:16" ht="75" x14ac:dyDescent="0.25">
      <c r="A79" s="3"/>
      <c r="B79" t="e">
        <f>VLOOKUP(A79,Лист1!$B$1:$Q$28,2,0)</f>
        <v>#N/A</v>
      </c>
      <c r="C79" t="e">
        <f>VLOOKUP(A79,Лист1!$B$1:$Q$28,5,0)</f>
        <v>#N/A</v>
      </c>
      <c r="D79" s="16"/>
      <c r="E79" s="25" t="e">
        <f>VLOOKUP(A79,Лист1!$B$1:$Q$28,3,0)</f>
        <v>#N/A</v>
      </c>
      <c r="F79" s="25" t="e">
        <f t="shared" si="1"/>
        <v>#N/A</v>
      </c>
      <c r="G79" t="e">
        <f>VLOOKUP(A79,Лист1!$B$1:$Q$28,4,0)</f>
        <v>#N/A</v>
      </c>
      <c r="H79" s="20"/>
      <c r="I79" t="s">
        <v>11</v>
      </c>
      <c r="J79" s="3" t="s">
        <v>79</v>
      </c>
      <c r="K79" t="s">
        <v>61</v>
      </c>
      <c r="L79" t="s">
        <v>7</v>
      </c>
      <c r="M79" t="s">
        <v>7</v>
      </c>
      <c r="N79" t="s">
        <v>9</v>
      </c>
      <c r="O79" t="e">
        <f>#REF!+#REF!*0.05</f>
        <v>#REF!</v>
      </c>
      <c r="P79" s="1">
        <v>184</v>
      </c>
    </row>
    <row r="80" spans="1:16" ht="75" x14ac:dyDescent="0.25">
      <c r="A80" s="3"/>
      <c r="B80" t="e">
        <f>VLOOKUP(A80,Лист1!$B$1:$Q$28,2,0)</f>
        <v>#N/A</v>
      </c>
      <c r="C80" t="e">
        <f>VLOOKUP(A80,Лист1!$B$1:$Q$28,5,0)</f>
        <v>#N/A</v>
      </c>
      <c r="D80" s="16"/>
      <c r="E80" s="25" t="e">
        <f>VLOOKUP(A80,Лист1!$B$1:$Q$28,3,0)</f>
        <v>#N/A</v>
      </c>
      <c r="F80" s="25" t="e">
        <f t="shared" si="1"/>
        <v>#N/A</v>
      </c>
      <c r="G80" t="e">
        <f>VLOOKUP(A80,Лист1!$B$1:$Q$28,4,0)</f>
        <v>#N/A</v>
      </c>
      <c r="H80" s="20"/>
      <c r="I80" t="s">
        <v>11</v>
      </c>
      <c r="J80" s="3" t="s">
        <v>79</v>
      </c>
      <c r="K80" t="s">
        <v>61</v>
      </c>
      <c r="L80" t="s">
        <v>7</v>
      </c>
      <c r="M80" t="s">
        <v>7</v>
      </c>
      <c r="N80" t="s">
        <v>9</v>
      </c>
      <c r="O80" t="e">
        <f>#REF!+#REF!*0.05</f>
        <v>#REF!</v>
      </c>
      <c r="P80" s="1">
        <v>184</v>
      </c>
    </row>
    <row r="81" spans="1:16" ht="75" x14ac:dyDescent="0.25">
      <c r="A81" s="3"/>
      <c r="B81" t="e">
        <f>VLOOKUP(A81,Лист1!$B$1:$Q$28,2,0)</f>
        <v>#N/A</v>
      </c>
      <c r="C81" t="e">
        <f>VLOOKUP(A81,Лист1!$B$1:$Q$28,5,0)</f>
        <v>#N/A</v>
      </c>
      <c r="D81" s="16"/>
      <c r="E81" s="25" t="e">
        <f>VLOOKUP(A81,Лист1!$B$1:$Q$28,3,0)</f>
        <v>#N/A</v>
      </c>
      <c r="F81" s="25" t="e">
        <f t="shared" si="1"/>
        <v>#N/A</v>
      </c>
      <c r="G81" t="e">
        <f>VLOOKUP(A81,Лист1!$B$1:$Q$28,4,0)</f>
        <v>#N/A</v>
      </c>
      <c r="H81" s="20"/>
      <c r="I81" t="s">
        <v>11</v>
      </c>
      <c r="J81" s="3" t="s">
        <v>79</v>
      </c>
      <c r="K81" t="s">
        <v>61</v>
      </c>
      <c r="L81" t="s">
        <v>7</v>
      </c>
      <c r="M81" t="s">
        <v>7</v>
      </c>
      <c r="N81" t="s">
        <v>9</v>
      </c>
      <c r="O81" t="e">
        <f>#REF!+#REF!*0.05</f>
        <v>#REF!</v>
      </c>
      <c r="P81" s="1">
        <v>184</v>
      </c>
    </row>
    <row r="82" spans="1:16" ht="75" x14ac:dyDescent="0.25">
      <c r="A82" s="3"/>
      <c r="B82" t="e">
        <f>VLOOKUP(A82,Лист1!$B$1:$Q$28,2,0)</f>
        <v>#N/A</v>
      </c>
      <c r="C82" t="e">
        <f>VLOOKUP(A82,Лист1!$B$1:$Q$28,5,0)</f>
        <v>#N/A</v>
      </c>
      <c r="D82" s="16"/>
      <c r="E82" s="25" t="e">
        <f>VLOOKUP(A82,Лист1!$B$1:$Q$28,3,0)</f>
        <v>#N/A</v>
      </c>
      <c r="F82" s="25" t="e">
        <f t="shared" si="1"/>
        <v>#N/A</v>
      </c>
      <c r="G82" t="e">
        <f>VLOOKUP(A82,Лист1!$B$1:$Q$28,4,0)</f>
        <v>#N/A</v>
      </c>
      <c r="H82" s="20"/>
      <c r="I82" t="s">
        <v>11</v>
      </c>
      <c r="J82" s="3" t="s">
        <v>79</v>
      </c>
      <c r="K82" t="s">
        <v>61</v>
      </c>
      <c r="L82" t="s">
        <v>7</v>
      </c>
      <c r="M82" t="s">
        <v>7</v>
      </c>
      <c r="N82" t="s">
        <v>9</v>
      </c>
      <c r="O82" t="e">
        <f>#REF!+#REF!*0.05</f>
        <v>#REF!</v>
      </c>
      <c r="P82" s="1">
        <v>184</v>
      </c>
    </row>
    <row r="83" spans="1:16" ht="75" x14ac:dyDescent="0.25">
      <c r="A83" s="3"/>
      <c r="B83" t="e">
        <f>VLOOKUP(A83,Лист1!$B$1:$Q$28,2,0)</f>
        <v>#N/A</v>
      </c>
      <c r="C83" t="e">
        <f>VLOOKUP(A83,Лист1!$B$1:$Q$28,5,0)</f>
        <v>#N/A</v>
      </c>
      <c r="D83" s="16"/>
      <c r="E83" s="25" t="e">
        <f>VLOOKUP(A83,Лист1!$B$1:$Q$28,3,0)</f>
        <v>#N/A</v>
      </c>
      <c r="F83" s="25" t="e">
        <f t="shared" si="1"/>
        <v>#N/A</v>
      </c>
      <c r="G83" t="e">
        <f>VLOOKUP(A83,Лист1!$B$1:$Q$28,4,0)</f>
        <v>#N/A</v>
      </c>
      <c r="H83" s="20"/>
      <c r="I83" t="s">
        <v>11</v>
      </c>
      <c r="J83" s="3" t="s">
        <v>79</v>
      </c>
      <c r="K83" t="s">
        <v>61</v>
      </c>
      <c r="L83" t="s">
        <v>7</v>
      </c>
      <c r="M83" t="s">
        <v>7</v>
      </c>
      <c r="N83" t="s">
        <v>9</v>
      </c>
      <c r="O83" t="e">
        <f>#REF!+#REF!*0.05</f>
        <v>#REF!</v>
      </c>
      <c r="P83" s="1">
        <v>184</v>
      </c>
    </row>
    <row r="84" spans="1:16" ht="75" x14ac:dyDescent="0.25">
      <c r="A84" s="3"/>
      <c r="B84" t="e">
        <f>VLOOKUP(A84,Лист1!$B$1:$Q$28,2,0)</f>
        <v>#N/A</v>
      </c>
      <c r="C84" t="e">
        <f>VLOOKUP(A84,Лист1!$B$1:$Q$28,5,0)</f>
        <v>#N/A</v>
      </c>
      <c r="D84" s="16"/>
      <c r="E84" s="25" t="e">
        <f>VLOOKUP(A84,Лист1!$B$1:$Q$28,3,0)</f>
        <v>#N/A</v>
      </c>
      <c r="F84" s="25" t="e">
        <f t="shared" si="1"/>
        <v>#N/A</v>
      </c>
      <c r="G84" t="e">
        <f>VLOOKUP(A84,Лист1!$B$1:$Q$28,4,0)</f>
        <v>#N/A</v>
      </c>
      <c r="H84" s="20"/>
      <c r="I84" t="s">
        <v>11</v>
      </c>
      <c r="J84" s="3" t="s">
        <v>79</v>
      </c>
      <c r="K84" t="s">
        <v>61</v>
      </c>
      <c r="L84" t="s">
        <v>7</v>
      </c>
      <c r="M84" t="s">
        <v>7</v>
      </c>
      <c r="N84" t="s">
        <v>9</v>
      </c>
      <c r="O84" t="e">
        <f>#REF!+#REF!*0.05</f>
        <v>#REF!</v>
      </c>
      <c r="P84" s="1">
        <v>184</v>
      </c>
    </row>
    <row r="85" spans="1:16" ht="11.25" customHeight="1" x14ac:dyDescent="0.25">
      <c r="A85" s="3"/>
      <c r="B85" t="e">
        <f>VLOOKUP(A85,Лист1!$B$1:$Q$28,2,0)</f>
        <v>#N/A</v>
      </c>
      <c r="C85" t="e">
        <f>VLOOKUP(A85,Лист1!$B$1:$Q$28,5,0)</f>
        <v>#N/A</v>
      </c>
      <c r="D85" s="16"/>
      <c r="E85" s="25" t="e">
        <f>VLOOKUP(A85,Лист1!$B$1:$Q$28,3,0)</f>
        <v>#N/A</v>
      </c>
      <c r="F85" s="25" t="e">
        <f t="shared" ref="F85" si="2">E85*D85</f>
        <v>#N/A</v>
      </c>
      <c r="G85" t="e">
        <f>VLOOKUP(A85,Лист1!$B$1:$Q$28,4,0)</f>
        <v>#N/A</v>
      </c>
      <c r="H85" s="20"/>
      <c r="I85" t="s">
        <v>11</v>
      </c>
      <c r="J85" s="3" t="s">
        <v>79</v>
      </c>
      <c r="K85" t="s">
        <v>61</v>
      </c>
      <c r="L85" t="s">
        <v>7</v>
      </c>
      <c r="M85" t="s">
        <v>7</v>
      </c>
      <c r="N85" t="s">
        <v>9</v>
      </c>
      <c r="O85" t="e">
        <f>#REF!+#REF!*0.05</f>
        <v>#REF!</v>
      </c>
      <c r="P85" s="1">
        <v>184</v>
      </c>
    </row>
    <row r="86" spans="1:16" ht="75" x14ac:dyDescent="0.25">
      <c r="A86" s="3"/>
      <c r="B86" t="e">
        <f>VLOOKUP(A86,Лист1!$B$1:$Q$28,2,0)</f>
        <v>#N/A</v>
      </c>
      <c r="C86" t="e">
        <f>VLOOKUP(A86,Лист1!$B$1:$Q$28,5,0)</f>
        <v>#N/A</v>
      </c>
      <c r="D86" s="16"/>
      <c r="E86" s="25" t="e">
        <f>VLOOKUP(A86,Лист1!$B$1:$Q$28,3,0)</f>
        <v>#N/A</v>
      </c>
      <c r="F86" s="25" t="e">
        <f t="shared" ref="F86:F124" si="3">E86*D86</f>
        <v>#N/A</v>
      </c>
      <c r="G86" t="e">
        <f>VLOOKUP(A86,Лист1!$B$1:$Q$28,4,0)</f>
        <v>#N/A</v>
      </c>
      <c r="H86" s="20"/>
      <c r="I86" t="s">
        <v>11</v>
      </c>
      <c r="J86" s="3" t="s">
        <v>79</v>
      </c>
      <c r="K86" t="s">
        <v>61</v>
      </c>
      <c r="L86" t="s">
        <v>7</v>
      </c>
      <c r="M86" t="s">
        <v>7</v>
      </c>
      <c r="N86" t="s">
        <v>9</v>
      </c>
      <c r="O86" t="e">
        <f>#REF!+#REF!*0.05</f>
        <v>#REF!</v>
      </c>
      <c r="P86" s="1">
        <v>184</v>
      </c>
    </row>
    <row r="87" spans="1:16" ht="73.5" customHeight="1" x14ac:dyDescent="0.25">
      <c r="A87" s="3"/>
      <c r="B87" t="e">
        <f>VLOOKUP(A87,Лист1!$B$1:$Q$28,2,0)</f>
        <v>#N/A</v>
      </c>
      <c r="C87" t="e">
        <f>VLOOKUP(A87,Лист1!$B$1:$Q$28,5,0)</f>
        <v>#N/A</v>
      </c>
      <c r="D87" s="16"/>
      <c r="E87" s="25" t="e">
        <f>VLOOKUP(A87,Лист1!$B$1:$Q$28,3,0)</f>
        <v>#N/A</v>
      </c>
      <c r="F87" s="25" t="e">
        <f t="shared" si="3"/>
        <v>#N/A</v>
      </c>
      <c r="G87" s="3" t="e">
        <f>VLOOKUP(A87,Лист1!$B$1:$Q$28,4,0)</f>
        <v>#N/A</v>
      </c>
      <c r="H87" s="20"/>
      <c r="I87" t="s">
        <v>11</v>
      </c>
      <c r="J87" s="3" t="s">
        <v>79</v>
      </c>
      <c r="K87" t="s">
        <v>61</v>
      </c>
      <c r="L87" t="s">
        <v>7</v>
      </c>
      <c r="M87" t="s">
        <v>7</v>
      </c>
      <c r="N87" t="s">
        <v>9</v>
      </c>
      <c r="O87" t="e">
        <f>#REF!+#REF!*0.05</f>
        <v>#REF!</v>
      </c>
      <c r="P87" s="1">
        <v>524</v>
      </c>
    </row>
    <row r="88" spans="1:16" ht="75" x14ac:dyDescent="0.25">
      <c r="A88" s="3"/>
      <c r="B88" t="e">
        <f>VLOOKUP(A88,Лист1!$B$1:$Q$28,2,0)</f>
        <v>#N/A</v>
      </c>
      <c r="C88" t="e">
        <f>VLOOKUP(A88,Лист1!$B$1:$Q$28,5,0)</f>
        <v>#N/A</v>
      </c>
      <c r="D88" s="16"/>
      <c r="E88" s="25" t="e">
        <f>VLOOKUP(A88,Лист1!$B$1:$Q$28,3,0)</f>
        <v>#N/A</v>
      </c>
      <c r="F88" s="25" t="e">
        <f t="shared" si="3"/>
        <v>#N/A</v>
      </c>
      <c r="G88" s="3" t="e">
        <f>VLOOKUP(A88,Лист1!$B$1:$Q$28,4,0)</f>
        <v>#N/A</v>
      </c>
      <c r="H88" s="20"/>
      <c r="I88" t="s">
        <v>11</v>
      </c>
      <c r="J88" s="3" t="s">
        <v>79</v>
      </c>
      <c r="K88" t="s">
        <v>61</v>
      </c>
      <c r="L88" t="s">
        <v>7</v>
      </c>
      <c r="M88" t="s">
        <v>7</v>
      </c>
      <c r="N88" t="s">
        <v>9</v>
      </c>
      <c r="O88" t="e">
        <f>#REF!+#REF!*0.05</f>
        <v>#REF!</v>
      </c>
      <c r="P88" s="1">
        <v>415</v>
      </c>
    </row>
    <row r="89" spans="1:16" ht="75" x14ac:dyDescent="0.25">
      <c r="A89" s="3"/>
      <c r="B89" t="e">
        <f>VLOOKUP(A89,Лист1!$B$1:$Q$28,2,0)</f>
        <v>#N/A</v>
      </c>
      <c r="C89" t="e">
        <f>VLOOKUP(A89,Лист1!$B$1:$Q$28,5,0)</f>
        <v>#N/A</v>
      </c>
      <c r="D89" s="16"/>
      <c r="E89" s="25" t="e">
        <f>VLOOKUP(A89,Лист1!$B$1:$Q$28,3,0)</f>
        <v>#N/A</v>
      </c>
      <c r="F89" s="25" t="e">
        <f t="shared" si="3"/>
        <v>#N/A</v>
      </c>
      <c r="G89" s="3" t="e">
        <f>VLOOKUP(A89,Лист1!$B$1:$Q$28,4,0)</f>
        <v>#N/A</v>
      </c>
      <c r="H89" s="20"/>
      <c r="I89" t="s">
        <v>11</v>
      </c>
      <c r="J89" s="3" t="s">
        <v>79</v>
      </c>
      <c r="K89" t="s">
        <v>61</v>
      </c>
      <c r="L89" t="s">
        <v>7</v>
      </c>
      <c r="M89" t="s">
        <v>7</v>
      </c>
      <c r="N89" t="s">
        <v>9</v>
      </c>
      <c r="O89" t="e">
        <f>#REF!+#REF!*0.05</f>
        <v>#REF!</v>
      </c>
      <c r="P89" s="1">
        <v>86</v>
      </c>
    </row>
    <row r="90" spans="1:16" ht="75" x14ac:dyDescent="0.25">
      <c r="A90" s="3"/>
      <c r="B90" t="e">
        <f>VLOOKUP(A90,Лист1!$B$1:$Q$28,2,0)</f>
        <v>#N/A</v>
      </c>
      <c r="C90" t="e">
        <f>VLOOKUP(A90,Лист1!$B$1:$Q$28,5,0)</f>
        <v>#N/A</v>
      </c>
      <c r="D90" s="16"/>
      <c r="E90" s="25" t="e">
        <f>VLOOKUP(A90,Лист1!$B$1:$Q$28,3,0)</f>
        <v>#N/A</v>
      </c>
      <c r="F90" s="25" t="e">
        <f t="shared" si="3"/>
        <v>#N/A</v>
      </c>
      <c r="G90" t="e">
        <f>VLOOKUP(A90,Лист1!$B$1:$Q$28,4,0)</f>
        <v>#N/A</v>
      </c>
      <c r="H90" s="20"/>
      <c r="I90" t="s">
        <v>11</v>
      </c>
      <c r="J90" s="3" t="s">
        <v>79</v>
      </c>
      <c r="K90" t="s">
        <v>61</v>
      </c>
      <c r="L90" t="s">
        <v>7</v>
      </c>
      <c r="M90" t="s">
        <v>7</v>
      </c>
      <c r="N90" t="s">
        <v>9</v>
      </c>
      <c r="O90" t="e">
        <f>#REF!+#REF!*0.05</f>
        <v>#REF!</v>
      </c>
      <c r="P90" s="1" t="e">
        <f t="shared" ref="P90:P95" si="4">O90+O90*0.094</f>
        <v>#REF!</v>
      </c>
    </row>
    <row r="91" spans="1:16" ht="75" x14ac:dyDescent="0.25">
      <c r="A91" s="3"/>
      <c r="B91" t="e">
        <f>VLOOKUP(A91,Лист1!$B$1:$Q$28,2,0)</f>
        <v>#N/A</v>
      </c>
      <c r="C91" t="e">
        <f>VLOOKUP(A91,Лист1!$B$1:$Q$28,5,0)</f>
        <v>#N/A</v>
      </c>
      <c r="D91" s="16"/>
      <c r="E91" s="25" t="e">
        <f>VLOOKUP(A91,Лист1!$B$1:$Q$28,3,0)</f>
        <v>#N/A</v>
      </c>
      <c r="F91" s="25" t="e">
        <f t="shared" si="3"/>
        <v>#N/A</v>
      </c>
      <c r="G91" t="e">
        <f>VLOOKUP(A91,Лист1!$B$1:$Q$28,4,0)</f>
        <v>#N/A</v>
      </c>
      <c r="H91" s="20"/>
      <c r="I91" t="s">
        <v>11</v>
      </c>
      <c r="J91" s="3" t="s">
        <v>79</v>
      </c>
      <c r="K91" t="s">
        <v>61</v>
      </c>
      <c r="L91" t="s">
        <v>7</v>
      </c>
      <c r="M91" t="s">
        <v>7</v>
      </c>
      <c r="N91" t="s">
        <v>9</v>
      </c>
      <c r="O91" t="e">
        <f>#REF!+#REF!*0.05</f>
        <v>#REF!</v>
      </c>
      <c r="P91" s="1" t="e">
        <f t="shared" si="4"/>
        <v>#REF!</v>
      </c>
    </row>
    <row r="92" spans="1:16" ht="75" x14ac:dyDescent="0.25">
      <c r="A92" s="3"/>
      <c r="B92" t="e">
        <f>VLOOKUP(A92,Лист1!$B$1:$Q$28,2,0)</f>
        <v>#N/A</v>
      </c>
      <c r="C92" t="e">
        <f>VLOOKUP(A92,Лист1!$B$1:$Q$28,5,0)</f>
        <v>#N/A</v>
      </c>
      <c r="D92" s="16"/>
      <c r="E92" s="25" t="e">
        <f>VLOOKUP(A92,Лист1!$B$1:$Q$28,3,0)</f>
        <v>#N/A</v>
      </c>
      <c r="F92" s="25" t="e">
        <f t="shared" si="3"/>
        <v>#N/A</v>
      </c>
      <c r="G92" t="e">
        <f>VLOOKUP(A92,Лист1!$B$1:$Q$28,4,0)</f>
        <v>#N/A</v>
      </c>
      <c r="H92" s="20"/>
      <c r="I92" t="s">
        <v>11</v>
      </c>
      <c r="J92" s="3" t="s">
        <v>79</v>
      </c>
      <c r="K92" t="s">
        <v>61</v>
      </c>
      <c r="L92" t="s">
        <v>7</v>
      </c>
      <c r="M92" t="s">
        <v>7</v>
      </c>
      <c r="N92" t="s">
        <v>9</v>
      </c>
      <c r="O92" t="e">
        <f>#REF!+#REF!*0.05</f>
        <v>#REF!</v>
      </c>
      <c r="P92" s="1" t="e">
        <f t="shared" si="4"/>
        <v>#REF!</v>
      </c>
    </row>
    <row r="93" spans="1:16" ht="75" x14ac:dyDescent="0.25">
      <c r="A93" s="3"/>
      <c r="B93" t="e">
        <f>VLOOKUP(A93,Лист1!$B$1:$Q$28,2,0)</f>
        <v>#N/A</v>
      </c>
      <c r="C93" t="e">
        <f>VLOOKUP(A93,Лист1!$B$1:$Q$28,5,0)</f>
        <v>#N/A</v>
      </c>
      <c r="D93" s="16"/>
      <c r="E93" s="25" t="e">
        <f>VLOOKUP(A93,Лист1!$B$1:$Q$28,3,0)</f>
        <v>#N/A</v>
      </c>
      <c r="F93" s="25" t="e">
        <f t="shared" si="3"/>
        <v>#N/A</v>
      </c>
      <c r="G93" t="e">
        <f>VLOOKUP(A93,Лист1!$B$1:$Q$28,4,0)</f>
        <v>#N/A</v>
      </c>
      <c r="H93" s="20"/>
      <c r="I93" t="s">
        <v>11</v>
      </c>
      <c r="J93" s="3" t="s">
        <v>79</v>
      </c>
      <c r="K93" t="s">
        <v>61</v>
      </c>
      <c r="L93" t="s">
        <v>7</v>
      </c>
      <c r="M93" t="s">
        <v>7</v>
      </c>
      <c r="N93" t="s">
        <v>9</v>
      </c>
      <c r="O93" t="e">
        <f>#REF!+#REF!*0.05</f>
        <v>#REF!</v>
      </c>
      <c r="P93" s="1" t="e">
        <f t="shared" si="4"/>
        <v>#REF!</v>
      </c>
    </row>
    <row r="94" spans="1:16" ht="75" x14ac:dyDescent="0.25">
      <c r="A94" s="3"/>
      <c r="B94" t="e">
        <f>VLOOKUP(A94,Лист1!$B$1:$Q$28,2,0)</f>
        <v>#N/A</v>
      </c>
      <c r="C94" t="e">
        <f>VLOOKUP(A94,Лист1!$B$1:$Q$28,5,0)</f>
        <v>#N/A</v>
      </c>
      <c r="D94" s="16"/>
      <c r="E94" s="25" t="e">
        <f>VLOOKUP(A94,Лист1!$B$1:$Q$28,3,0)</f>
        <v>#N/A</v>
      </c>
      <c r="F94" s="25" t="e">
        <f t="shared" si="3"/>
        <v>#N/A</v>
      </c>
      <c r="G94" t="e">
        <f>VLOOKUP(A94,Лист1!$B$1:$Q$28,4,0)</f>
        <v>#N/A</v>
      </c>
      <c r="H94" s="20"/>
      <c r="I94" t="s">
        <v>11</v>
      </c>
      <c r="J94" s="3" t="s">
        <v>79</v>
      </c>
      <c r="K94" t="s">
        <v>61</v>
      </c>
      <c r="L94" t="s">
        <v>7</v>
      </c>
      <c r="M94" t="s">
        <v>7</v>
      </c>
      <c r="N94" t="s">
        <v>9</v>
      </c>
      <c r="O94" t="e">
        <f>#REF!+#REF!*0.05</f>
        <v>#REF!</v>
      </c>
      <c r="P94" s="1" t="e">
        <f t="shared" si="4"/>
        <v>#REF!</v>
      </c>
    </row>
    <row r="95" spans="1:16" ht="75" x14ac:dyDescent="0.25">
      <c r="A95" s="3"/>
      <c r="B95" t="e">
        <f>VLOOKUP(A95,Лист1!$B$1:$Q$28,2,0)</f>
        <v>#N/A</v>
      </c>
      <c r="C95" t="e">
        <f>VLOOKUP(A95,Лист1!$B$1:$Q$28,5,0)</f>
        <v>#N/A</v>
      </c>
      <c r="D95" s="16"/>
      <c r="E95" s="25" t="e">
        <f>VLOOKUP(A95,Лист1!$B$1:$Q$28,3,0)</f>
        <v>#N/A</v>
      </c>
      <c r="F95" s="25" t="e">
        <f t="shared" si="3"/>
        <v>#N/A</v>
      </c>
      <c r="G95" t="e">
        <f>VLOOKUP(A95,Лист1!$B$1:$Q$28,4,0)</f>
        <v>#N/A</v>
      </c>
      <c r="H95" s="20"/>
      <c r="I95" t="s">
        <v>11</v>
      </c>
      <c r="J95" s="3" t="s">
        <v>79</v>
      </c>
      <c r="K95" t="s">
        <v>61</v>
      </c>
      <c r="L95" t="s">
        <v>7</v>
      </c>
      <c r="M95" t="s">
        <v>7</v>
      </c>
      <c r="N95" t="s">
        <v>9</v>
      </c>
      <c r="O95" t="e">
        <f>#REF!+#REF!*0.05</f>
        <v>#REF!</v>
      </c>
      <c r="P95" s="1" t="e">
        <f t="shared" si="4"/>
        <v>#REF!</v>
      </c>
    </row>
    <row r="96" spans="1:16" ht="75" x14ac:dyDescent="0.25">
      <c r="A96" s="3"/>
      <c r="B96" t="e">
        <f>VLOOKUP(A96,Лист1!$B$1:$Q$28,2,0)</f>
        <v>#N/A</v>
      </c>
      <c r="C96" t="e">
        <f>VLOOKUP(A96,Лист1!$B$1:$Q$28,5,0)</f>
        <v>#N/A</v>
      </c>
      <c r="D96" s="16"/>
      <c r="E96" s="25" t="e">
        <f>VLOOKUP(A96,Лист1!$B$1:$Q$28,3,0)</f>
        <v>#N/A</v>
      </c>
      <c r="F96" s="25" t="e">
        <f t="shared" si="3"/>
        <v>#N/A</v>
      </c>
      <c r="G96" t="e">
        <f>VLOOKUP(A96,Лист1!$B$1:$Q$28,4,0)</f>
        <v>#N/A</v>
      </c>
      <c r="H96" s="20"/>
      <c r="I96" t="s">
        <v>11</v>
      </c>
      <c r="J96" s="3" t="s">
        <v>79</v>
      </c>
      <c r="K96" t="s">
        <v>61</v>
      </c>
      <c r="L96" t="s">
        <v>7</v>
      </c>
      <c r="M96" t="s">
        <v>7</v>
      </c>
      <c r="N96" t="s">
        <v>9</v>
      </c>
      <c r="O96" t="e">
        <f>#REF!+#REF!*0.05</f>
        <v>#REF!</v>
      </c>
      <c r="P96" s="1" t="e">
        <f t="shared" ref="P96:P159" si="5">O96+O96*0.094</f>
        <v>#REF!</v>
      </c>
    </row>
    <row r="97" spans="1:16" ht="75" x14ac:dyDescent="0.25">
      <c r="A97" s="3"/>
      <c r="B97" t="e">
        <f>VLOOKUP(A97,Лист1!$B$1:$Q$28,2,0)</f>
        <v>#N/A</v>
      </c>
      <c r="C97" t="e">
        <f>VLOOKUP(A97,Лист1!$B$1:$Q$28,5,0)</f>
        <v>#N/A</v>
      </c>
      <c r="D97" s="16"/>
      <c r="E97" s="25" t="e">
        <f>VLOOKUP(A97,Лист1!$B$1:$Q$28,3,0)</f>
        <v>#N/A</v>
      </c>
      <c r="F97" s="25" t="e">
        <f t="shared" si="3"/>
        <v>#N/A</v>
      </c>
      <c r="G97" t="e">
        <f>VLOOKUP(A97,Лист1!$B$1:$Q$28,4,0)</f>
        <v>#N/A</v>
      </c>
      <c r="H97" s="20"/>
      <c r="I97" t="s">
        <v>11</v>
      </c>
      <c r="J97" s="3" t="s">
        <v>79</v>
      </c>
      <c r="K97" t="s">
        <v>61</v>
      </c>
      <c r="L97" t="s">
        <v>7</v>
      </c>
      <c r="M97" t="s">
        <v>7</v>
      </c>
      <c r="N97" t="s">
        <v>9</v>
      </c>
      <c r="O97" t="e">
        <f>#REF!+#REF!*0.05</f>
        <v>#REF!</v>
      </c>
      <c r="P97" s="1" t="e">
        <f t="shared" si="5"/>
        <v>#REF!</v>
      </c>
    </row>
    <row r="98" spans="1:16" ht="75" x14ac:dyDescent="0.25">
      <c r="A98" s="3"/>
      <c r="B98" t="e">
        <f>VLOOKUP(A98,Лист1!$B$1:$Q$28,2,0)</f>
        <v>#N/A</v>
      </c>
      <c r="C98" t="e">
        <f>VLOOKUP(A98,Лист1!$B$1:$Q$28,5,0)</f>
        <v>#N/A</v>
      </c>
      <c r="D98" s="16"/>
      <c r="E98" s="25" t="e">
        <f>VLOOKUP(A98,Лист1!$B$1:$Q$28,3,0)</f>
        <v>#N/A</v>
      </c>
      <c r="F98" s="25" t="e">
        <f t="shared" si="3"/>
        <v>#N/A</v>
      </c>
      <c r="G98" t="e">
        <f>VLOOKUP(A98,Лист1!$B$1:$Q$28,4,0)</f>
        <v>#N/A</v>
      </c>
      <c r="H98" s="20"/>
      <c r="I98" t="s">
        <v>11</v>
      </c>
      <c r="J98" s="3" t="s">
        <v>79</v>
      </c>
      <c r="K98" t="s">
        <v>61</v>
      </c>
      <c r="L98" t="s">
        <v>7</v>
      </c>
      <c r="M98" t="s">
        <v>7</v>
      </c>
      <c r="N98" t="s">
        <v>9</v>
      </c>
      <c r="O98" t="e">
        <f>#REF!+#REF!*0.05</f>
        <v>#REF!</v>
      </c>
      <c r="P98" s="1" t="e">
        <f t="shared" si="5"/>
        <v>#REF!</v>
      </c>
    </row>
    <row r="99" spans="1:16" ht="75" x14ac:dyDescent="0.25">
      <c r="A99" s="3"/>
      <c r="B99" t="e">
        <f>VLOOKUP(A99,Лист1!$B$1:$Q$28,2,0)</f>
        <v>#N/A</v>
      </c>
      <c r="C99" t="e">
        <f>VLOOKUP(A99,Лист1!$B$1:$Q$28,5,0)</f>
        <v>#N/A</v>
      </c>
      <c r="D99" s="16"/>
      <c r="E99" s="25" t="e">
        <f>VLOOKUP(A99,Лист1!$B$1:$Q$28,3,0)</f>
        <v>#N/A</v>
      </c>
      <c r="F99" s="25" t="e">
        <f t="shared" si="3"/>
        <v>#N/A</v>
      </c>
      <c r="G99" t="e">
        <f>VLOOKUP(A99,Лист1!$B$1:$Q$28,4,0)</f>
        <v>#N/A</v>
      </c>
      <c r="H99" s="20"/>
      <c r="I99" t="s">
        <v>11</v>
      </c>
      <c r="J99" s="3" t="s">
        <v>79</v>
      </c>
      <c r="K99" t="s">
        <v>61</v>
      </c>
      <c r="L99" t="s">
        <v>7</v>
      </c>
      <c r="M99" t="s">
        <v>7</v>
      </c>
      <c r="N99" t="s">
        <v>9</v>
      </c>
      <c r="P99" s="1">
        <f t="shared" si="5"/>
        <v>0</v>
      </c>
    </row>
    <row r="100" spans="1:16" ht="75" x14ac:dyDescent="0.25">
      <c r="A100" s="3"/>
      <c r="B100" t="e">
        <f>VLOOKUP(A100,Лист1!$B$1:$Q$28,2,0)</f>
        <v>#N/A</v>
      </c>
      <c r="C100" t="e">
        <f>VLOOKUP(A100,Лист1!$B$1:$Q$28,5,0)</f>
        <v>#N/A</v>
      </c>
      <c r="D100" s="16"/>
      <c r="E100" s="25" t="e">
        <f>VLOOKUP(A100,Лист1!$B$1:$Q$28,3,0)</f>
        <v>#N/A</v>
      </c>
      <c r="F100" s="25" t="e">
        <f t="shared" si="3"/>
        <v>#N/A</v>
      </c>
      <c r="G100" t="e">
        <f>VLOOKUP(A100,Лист1!$B$1:$Q$28,4,0)</f>
        <v>#N/A</v>
      </c>
      <c r="H100" s="20"/>
      <c r="I100" t="s">
        <v>11</v>
      </c>
      <c r="J100" s="3" t="s">
        <v>79</v>
      </c>
      <c r="K100" t="s">
        <v>61</v>
      </c>
      <c r="L100" t="s">
        <v>7</v>
      </c>
      <c r="M100" t="s">
        <v>7</v>
      </c>
      <c r="N100" t="s">
        <v>9</v>
      </c>
      <c r="P100" s="1">
        <f t="shared" si="5"/>
        <v>0</v>
      </c>
    </row>
    <row r="101" spans="1:16" ht="75" x14ac:dyDescent="0.25">
      <c r="A101" s="3"/>
      <c r="B101" t="e">
        <f>VLOOKUP(A101,Лист1!$B$1:$Q$28,2,0)</f>
        <v>#N/A</v>
      </c>
      <c r="C101" t="e">
        <f>VLOOKUP(A101,Лист1!$B$1:$Q$28,5,0)</f>
        <v>#N/A</v>
      </c>
      <c r="D101" s="16"/>
      <c r="E101" s="25" t="e">
        <f>VLOOKUP(A101,Лист1!$B$1:$Q$28,3,0)</f>
        <v>#N/A</v>
      </c>
      <c r="F101" s="25" t="e">
        <f t="shared" si="3"/>
        <v>#N/A</v>
      </c>
      <c r="G101" t="e">
        <f>VLOOKUP(A101,Лист1!$B$1:$Q$28,4,0)</f>
        <v>#N/A</v>
      </c>
      <c r="H101" s="20"/>
      <c r="I101" t="s">
        <v>11</v>
      </c>
      <c r="J101" s="3" t="s">
        <v>79</v>
      </c>
      <c r="K101" t="s">
        <v>61</v>
      </c>
      <c r="L101" t="s">
        <v>7</v>
      </c>
      <c r="M101" t="s">
        <v>7</v>
      </c>
      <c r="N101" t="s">
        <v>9</v>
      </c>
      <c r="P101" s="1">
        <f t="shared" si="5"/>
        <v>0</v>
      </c>
    </row>
    <row r="102" spans="1:16" ht="75" x14ac:dyDescent="0.25">
      <c r="A102" s="3"/>
      <c r="B102" t="e">
        <f>VLOOKUP(A102,Лист1!$B$1:$Q$28,2,0)</f>
        <v>#N/A</v>
      </c>
      <c r="C102" t="e">
        <f>VLOOKUP(A102,Лист1!$B$1:$Q$28,5,0)</f>
        <v>#N/A</v>
      </c>
      <c r="D102" s="16"/>
      <c r="E102" s="25" t="e">
        <f>VLOOKUP(A102,Лист1!$B$1:$Q$28,3,0)</f>
        <v>#N/A</v>
      </c>
      <c r="F102" s="25" t="e">
        <f t="shared" si="3"/>
        <v>#N/A</v>
      </c>
      <c r="G102" t="e">
        <f>VLOOKUP(A102,Лист1!$B$1:$Q$28,4,0)</f>
        <v>#N/A</v>
      </c>
      <c r="H102" s="20"/>
      <c r="I102" t="s">
        <v>11</v>
      </c>
      <c r="J102" s="3" t="s">
        <v>79</v>
      </c>
      <c r="K102" t="s">
        <v>61</v>
      </c>
      <c r="L102" t="s">
        <v>7</v>
      </c>
      <c r="M102" t="s">
        <v>7</v>
      </c>
      <c r="N102" t="s">
        <v>9</v>
      </c>
      <c r="P102" s="1">
        <f t="shared" si="5"/>
        <v>0</v>
      </c>
    </row>
    <row r="103" spans="1:16" ht="75" x14ac:dyDescent="0.25">
      <c r="A103" s="3"/>
      <c r="B103" t="e">
        <f>VLOOKUP(A103,Лист1!$B$1:$Q$28,2,0)</f>
        <v>#N/A</v>
      </c>
      <c r="C103" t="e">
        <f>VLOOKUP(A103,Лист1!$B$1:$Q$28,5,0)</f>
        <v>#N/A</v>
      </c>
      <c r="D103" s="16"/>
      <c r="E103" s="25" t="e">
        <f>VLOOKUP(A103,Лист1!$B$1:$Q$28,3,0)</f>
        <v>#N/A</v>
      </c>
      <c r="F103" s="25" t="e">
        <f t="shared" si="3"/>
        <v>#N/A</v>
      </c>
      <c r="G103" t="e">
        <f>VLOOKUP(A103,Лист1!$B$1:$Q$28,4,0)</f>
        <v>#N/A</v>
      </c>
      <c r="H103" s="20"/>
      <c r="I103" t="s">
        <v>11</v>
      </c>
      <c r="J103" s="3" t="s">
        <v>79</v>
      </c>
      <c r="K103" t="s">
        <v>61</v>
      </c>
      <c r="L103" t="s">
        <v>7</v>
      </c>
      <c r="M103" t="s">
        <v>7</v>
      </c>
      <c r="N103" t="s">
        <v>9</v>
      </c>
      <c r="P103" s="1">
        <f t="shared" si="5"/>
        <v>0</v>
      </c>
    </row>
    <row r="104" spans="1:16" ht="75" x14ac:dyDescent="0.25">
      <c r="A104" s="3"/>
      <c r="B104" t="e">
        <f>VLOOKUP(A104,Лист1!$B$1:$Q$28,2,0)</f>
        <v>#N/A</v>
      </c>
      <c r="C104" t="e">
        <f>VLOOKUP(A104,Лист1!$B$1:$Q$28,5,0)</f>
        <v>#N/A</v>
      </c>
      <c r="D104" s="16"/>
      <c r="E104" s="25" t="e">
        <f>VLOOKUP(A104,Лист1!$B$1:$Q$28,3,0)</f>
        <v>#N/A</v>
      </c>
      <c r="F104" s="25" t="e">
        <f t="shared" si="3"/>
        <v>#N/A</v>
      </c>
      <c r="G104" t="e">
        <f>VLOOKUP(A104,Лист1!$B$1:$Q$28,4,0)</f>
        <v>#N/A</v>
      </c>
      <c r="H104" s="20"/>
      <c r="I104" t="s">
        <v>11</v>
      </c>
      <c r="J104" s="3" t="s">
        <v>79</v>
      </c>
      <c r="K104" t="s">
        <v>61</v>
      </c>
      <c r="L104" t="s">
        <v>7</v>
      </c>
      <c r="M104" t="s">
        <v>7</v>
      </c>
      <c r="N104" t="s">
        <v>9</v>
      </c>
      <c r="P104" s="1">
        <f t="shared" si="5"/>
        <v>0</v>
      </c>
    </row>
    <row r="105" spans="1:16" ht="75" x14ac:dyDescent="0.25">
      <c r="A105" s="3"/>
      <c r="B105" t="e">
        <f>VLOOKUP(A105,Лист1!$B$1:$Q$28,2,0)</f>
        <v>#N/A</v>
      </c>
      <c r="C105" t="e">
        <f>VLOOKUP(A105,Лист1!$B$1:$Q$28,5,0)</f>
        <v>#N/A</v>
      </c>
      <c r="D105" s="16"/>
      <c r="E105" s="25" t="e">
        <f>VLOOKUP(A105,Лист1!$B$1:$Q$28,3,0)</f>
        <v>#N/A</v>
      </c>
      <c r="F105" s="25" t="e">
        <f t="shared" si="3"/>
        <v>#N/A</v>
      </c>
      <c r="G105" t="e">
        <f>VLOOKUP(A105,Лист1!$B$1:$Q$28,4,0)</f>
        <v>#N/A</v>
      </c>
      <c r="H105" s="20"/>
      <c r="I105" t="s">
        <v>11</v>
      </c>
      <c r="J105" s="3" t="s">
        <v>79</v>
      </c>
      <c r="K105" t="s">
        <v>61</v>
      </c>
      <c r="L105" t="s">
        <v>7</v>
      </c>
      <c r="M105" t="s">
        <v>7</v>
      </c>
      <c r="N105" t="s">
        <v>9</v>
      </c>
      <c r="P105" s="1">
        <f t="shared" si="5"/>
        <v>0</v>
      </c>
    </row>
    <row r="106" spans="1:16" ht="75" x14ac:dyDescent="0.25">
      <c r="A106" s="3"/>
      <c r="B106" t="e">
        <f>VLOOKUP(A106,Лист1!$B$1:$Q$28,2,0)</f>
        <v>#N/A</v>
      </c>
      <c r="C106" t="e">
        <f>VLOOKUP(A106,Лист1!$B$1:$Q$28,5,0)</f>
        <v>#N/A</v>
      </c>
      <c r="D106" s="16"/>
      <c r="E106" s="25" t="e">
        <f>VLOOKUP(A106,Лист1!$B$1:$Q$28,3,0)</f>
        <v>#N/A</v>
      </c>
      <c r="F106" s="25" t="e">
        <f t="shared" si="3"/>
        <v>#N/A</v>
      </c>
      <c r="G106" t="e">
        <f>VLOOKUP(A106,Лист1!$B$1:$Q$28,4,0)</f>
        <v>#N/A</v>
      </c>
      <c r="H106" s="20"/>
      <c r="I106" t="s">
        <v>11</v>
      </c>
      <c r="J106" s="3" t="s">
        <v>79</v>
      </c>
      <c r="K106" t="s">
        <v>61</v>
      </c>
      <c r="L106" t="s">
        <v>7</v>
      </c>
      <c r="M106" t="s">
        <v>7</v>
      </c>
      <c r="N106" t="s">
        <v>9</v>
      </c>
      <c r="P106" s="1">
        <f t="shared" si="5"/>
        <v>0</v>
      </c>
    </row>
    <row r="107" spans="1:16" ht="75" x14ac:dyDescent="0.25">
      <c r="A107" s="3"/>
      <c r="B107" t="e">
        <f>VLOOKUP(A107,Лист1!$B$1:$Q$28,2,0)</f>
        <v>#N/A</v>
      </c>
      <c r="C107" t="e">
        <f>VLOOKUP(A107,Лист1!$B$1:$Q$28,5,0)</f>
        <v>#N/A</v>
      </c>
      <c r="D107" s="16"/>
      <c r="E107" s="25" t="e">
        <f>VLOOKUP(A107,Лист1!$B$1:$Q$28,3,0)</f>
        <v>#N/A</v>
      </c>
      <c r="F107" s="25" t="e">
        <f t="shared" si="3"/>
        <v>#N/A</v>
      </c>
      <c r="G107" t="e">
        <f>VLOOKUP(A107,Лист1!$B$1:$Q$28,4,0)</f>
        <v>#N/A</v>
      </c>
      <c r="H107" s="20"/>
      <c r="I107" t="s">
        <v>11</v>
      </c>
      <c r="J107" s="3" t="s">
        <v>79</v>
      </c>
      <c r="K107" t="s">
        <v>61</v>
      </c>
      <c r="L107" t="s">
        <v>7</v>
      </c>
      <c r="M107" t="s">
        <v>7</v>
      </c>
      <c r="N107" t="s">
        <v>9</v>
      </c>
      <c r="P107" s="1">
        <f t="shared" si="5"/>
        <v>0</v>
      </c>
    </row>
    <row r="108" spans="1:16" ht="75" x14ac:dyDescent="0.25">
      <c r="A108" s="3"/>
      <c r="B108" t="e">
        <f>VLOOKUP(A108,Лист1!$B$1:$Q$28,2,0)</f>
        <v>#N/A</v>
      </c>
      <c r="C108" t="e">
        <f>VLOOKUP(A108,Лист1!$B$1:$Q$28,5,0)</f>
        <v>#N/A</v>
      </c>
      <c r="D108" s="16"/>
      <c r="E108" s="25" t="e">
        <f>VLOOKUP(A108,Лист1!$B$1:$Q$28,3,0)</f>
        <v>#N/A</v>
      </c>
      <c r="F108" s="25" t="e">
        <f t="shared" si="3"/>
        <v>#N/A</v>
      </c>
      <c r="G108" t="e">
        <f>VLOOKUP(A108,Лист1!$B$1:$Q$28,4,0)</f>
        <v>#N/A</v>
      </c>
      <c r="H108" s="20"/>
      <c r="I108" t="s">
        <v>11</v>
      </c>
      <c r="J108" s="3" t="s">
        <v>79</v>
      </c>
      <c r="K108" t="s">
        <v>61</v>
      </c>
      <c r="L108" t="s">
        <v>7</v>
      </c>
      <c r="M108" t="s">
        <v>7</v>
      </c>
      <c r="N108" t="s">
        <v>9</v>
      </c>
      <c r="P108" s="1">
        <f t="shared" si="5"/>
        <v>0</v>
      </c>
    </row>
    <row r="109" spans="1:16" ht="75" x14ac:dyDescent="0.25">
      <c r="A109" s="3"/>
      <c r="B109" t="e">
        <f>VLOOKUP(A109,Лист1!$B$1:$Q$28,2,0)</f>
        <v>#N/A</v>
      </c>
      <c r="C109" t="e">
        <f>VLOOKUP(A109,Лист1!$B$1:$Q$28,5,0)</f>
        <v>#N/A</v>
      </c>
      <c r="D109" s="16"/>
      <c r="E109" s="25" t="e">
        <f>VLOOKUP(A109,Лист1!$B$1:$Q$28,3,0)</f>
        <v>#N/A</v>
      </c>
      <c r="F109" s="25" t="e">
        <f t="shared" si="3"/>
        <v>#N/A</v>
      </c>
      <c r="G109" t="e">
        <f>VLOOKUP(A109,Лист1!$B$1:$Q$28,4,0)</f>
        <v>#N/A</v>
      </c>
      <c r="H109" s="20"/>
      <c r="I109" t="s">
        <v>11</v>
      </c>
      <c r="J109" s="3" t="s">
        <v>79</v>
      </c>
      <c r="K109" t="s">
        <v>61</v>
      </c>
      <c r="L109" t="s">
        <v>7</v>
      </c>
      <c r="M109" t="s">
        <v>7</v>
      </c>
      <c r="N109" t="s">
        <v>9</v>
      </c>
      <c r="P109" s="1">
        <f t="shared" si="5"/>
        <v>0</v>
      </c>
    </row>
    <row r="110" spans="1:16" ht="75" x14ac:dyDescent="0.25">
      <c r="A110" s="3"/>
      <c r="B110" t="e">
        <f>VLOOKUP(A110,Лист1!$B$1:$Q$28,2,0)</f>
        <v>#N/A</v>
      </c>
      <c r="C110" t="e">
        <f>VLOOKUP(A110,Лист1!$B$1:$Q$28,5,0)</f>
        <v>#N/A</v>
      </c>
      <c r="D110" s="16"/>
      <c r="E110" s="25" t="e">
        <f>VLOOKUP(A110,Лист1!$B$1:$Q$28,3,0)</f>
        <v>#N/A</v>
      </c>
      <c r="F110" s="25" t="e">
        <f t="shared" si="3"/>
        <v>#N/A</v>
      </c>
      <c r="G110" t="e">
        <f>VLOOKUP(A110,Лист1!$B$1:$Q$28,4,0)</f>
        <v>#N/A</v>
      </c>
      <c r="H110" s="20"/>
      <c r="I110" t="s">
        <v>11</v>
      </c>
      <c r="J110" s="3" t="s">
        <v>79</v>
      </c>
      <c r="K110" t="s">
        <v>61</v>
      </c>
      <c r="L110" t="s">
        <v>7</v>
      </c>
      <c r="M110" t="s">
        <v>7</v>
      </c>
      <c r="N110" t="s">
        <v>9</v>
      </c>
      <c r="P110" s="1">
        <f t="shared" si="5"/>
        <v>0</v>
      </c>
    </row>
    <row r="111" spans="1:16" ht="75" x14ac:dyDescent="0.25">
      <c r="A111" s="3"/>
      <c r="B111" t="e">
        <f>VLOOKUP(A111,Лист1!$B$1:$Q$28,2,0)</f>
        <v>#N/A</v>
      </c>
      <c r="C111" t="e">
        <f>VLOOKUP(A111,Лист1!$B$1:$Q$28,5,0)</f>
        <v>#N/A</v>
      </c>
      <c r="E111" s="25" t="e">
        <f>VLOOKUP(A111,Лист1!$B$1:$Q$28,3,0)</f>
        <v>#N/A</v>
      </c>
      <c r="F111" s="25" t="e">
        <f t="shared" si="3"/>
        <v>#N/A</v>
      </c>
      <c r="G111" t="e">
        <f>VLOOKUP(A111,Лист1!$B$1:$Q$28,4,0)</f>
        <v>#N/A</v>
      </c>
      <c r="H111" s="20"/>
      <c r="I111" t="s">
        <v>11</v>
      </c>
      <c r="J111" s="3" t="s">
        <v>79</v>
      </c>
      <c r="K111" t="s">
        <v>61</v>
      </c>
      <c r="L111" t="s">
        <v>7</v>
      </c>
      <c r="M111" t="s">
        <v>7</v>
      </c>
      <c r="N111" t="s">
        <v>9</v>
      </c>
      <c r="P111" s="1">
        <f t="shared" si="5"/>
        <v>0</v>
      </c>
    </row>
    <row r="112" spans="1:16" ht="75" x14ac:dyDescent="0.25">
      <c r="A112" s="3"/>
      <c r="B112" t="e">
        <f>VLOOKUP(A112,Лист1!$B$1:$Q$28,2,0)</f>
        <v>#N/A</v>
      </c>
      <c r="C112" t="e">
        <f>VLOOKUP(A112,Лист1!$B$1:$Q$28,5,0)</f>
        <v>#N/A</v>
      </c>
      <c r="E112" s="25" t="e">
        <f>VLOOKUP(A112,Лист1!$B$1:$Q$28,3,0)</f>
        <v>#N/A</v>
      </c>
      <c r="F112" s="25" t="e">
        <f t="shared" si="3"/>
        <v>#N/A</v>
      </c>
      <c r="G112" t="e">
        <f>VLOOKUP(A112,Лист1!$B$1:$Q$28,4,0)</f>
        <v>#N/A</v>
      </c>
      <c r="H112" s="20"/>
      <c r="I112" t="s">
        <v>11</v>
      </c>
      <c r="J112" s="3" t="s">
        <v>79</v>
      </c>
      <c r="K112" t="s">
        <v>61</v>
      </c>
      <c r="L112" t="s">
        <v>7</v>
      </c>
      <c r="M112" t="s">
        <v>7</v>
      </c>
      <c r="N112" t="s">
        <v>9</v>
      </c>
      <c r="P112" s="1">
        <f t="shared" si="5"/>
        <v>0</v>
      </c>
    </row>
    <row r="113" spans="1:16" ht="75" x14ac:dyDescent="0.25">
      <c r="A113" s="3"/>
      <c r="B113" t="e">
        <f>VLOOKUP(A113,Лист1!$B$1:$Q$28,2,0)</f>
        <v>#N/A</v>
      </c>
      <c r="C113" t="e">
        <f>VLOOKUP(A113,Лист1!$B$1:$Q$28,5,0)</f>
        <v>#N/A</v>
      </c>
      <c r="E113" s="25" t="e">
        <f>VLOOKUP(A113,Лист1!$B$1:$Q$28,3,0)</f>
        <v>#N/A</v>
      </c>
      <c r="F113" s="25" t="e">
        <f t="shared" si="3"/>
        <v>#N/A</v>
      </c>
      <c r="G113" t="e">
        <f>VLOOKUP(A113,Лист1!$B$1:$Q$28,4,0)</f>
        <v>#N/A</v>
      </c>
      <c r="H113" s="20"/>
      <c r="I113" t="s">
        <v>11</v>
      </c>
      <c r="J113" s="3" t="s">
        <v>79</v>
      </c>
      <c r="K113" t="s">
        <v>61</v>
      </c>
      <c r="L113" t="s">
        <v>7</v>
      </c>
      <c r="M113" t="s">
        <v>7</v>
      </c>
      <c r="N113" t="s">
        <v>9</v>
      </c>
      <c r="P113" s="1">
        <f t="shared" si="5"/>
        <v>0</v>
      </c>
    </row>
    <row r="114" spans="1:16" ht="75" x14ac:dyDescent="0.25">
      <c r="A114" s="3"/>
      <c r="B114" t="e">
        <f>VLOOKUP(A114,Лист1!$B$1:$Q$28,2,0)</f>
        <v>#N/A</v>
      </c>
      <c r="C114" t="e">
        <f>VLOOKUP(A114,Лист1!$B$1:$Q$28,5,0)</f>
        <v>#N/A</v>
      </c>
      <c r="E114" s="25" t="e">
        <f>VLOOKUP(A114,Лист1!$B$1:$Q$28,3,0)</f>
        <v>#N/A</v>
      </c>
      <c r="F114" s="25" t="e">
        <f t="shared" si="3"/>
        <v>#N/A</v>
      </c>
      <c r="G114" t="e">
        <f>VLOOKUP(A114,Лист1!$B$1:$Q$28,4,0)</f>
        <v>#N/A</v>
      </c>
      <c r="H114" s="20"/>
      <c r="I114" t="s">
        <v>11</v>
      </c>
      <c r="J114" s="3" t="s">
        <v>79</v>
      </c>
      <c r="K114" t="s">
        <v>61</v>
      </c>
      <c r="L114" t="s">
        <v>7</v>
      </c>
      <c r="M114" t="s">
        <v>7</v>
      </c>
      <c r="N114" t="s">
        <v>9</v>
      </c>
      <c r="P114" s="1">
        <f t="shared" si="5"/>
        <v>0</v>
      </c>
    </row>
    <row r="115" spans="1:16" ht="75" x14ac:dyDescent="0.25">
      <c r="A115" s="3"/>
      <c r="B115" t="e">
        <f>VLOOKUP(A115,Лист1!$B$1:$Q$28,2,0)</f>
        <v>#N/A</v>
      </c>
      <c r="C115" t="e">
        <f>VLOOKUP(A115,Лист1!$B$1:$Q$28,5,0)</f>
        <v>#N/A</v>
      </c>
      <c r="E115" s="25" t="e">
        <f>VLOOKUP(A115,Лист1!$B$1:$Q$28,3,0)</f>
        <v>#N/A</v>
      </c>
      <c r="F115" s="25" t="e">
        <f t="shared" si="3"/>
        <v>#N/A</v>
      </c>
      <c r="G115" t="e">
        <f>VLOOKUP(A115,Лист1!$B$1:$Q$28,4,0)</f>
        <v>#N/A</v>
      </c>
      <c r="H115" s="20"/>
      <c r="I115" t="s">
        <v>11</v>
      </c>
      <c r="J115" s="3" t="s">
        <v>79</v>
      </c>
      <c r="K115" t="s">
        <v>61</v>
      </c>
      <c r="L115" t="s">
        <v>7</v>
      </c>
      <c r="M115" t="s">
        <v>7</v>
      </c>
      <c r="N115" t="s">
        <v>9</v>
      </c>
      <c r="P115" s="1">
        <f t="shared" si="5"/>
        <v>0</v>
      </c>
    </row>
    <row r="116" spans="1:16" ht="75" x14ac:dyDescent="0.25">
      <c r="A116" s="3"/>
      <c r="B116" t="e">
        <f>VLOOKUP(A116,Лист1!$B$1:$Q$28,2,0)</f>
        <v>#N/A</v>
      </c>
      <c r="C116" t="e">
        <f>VLOOKUP(A116,Лист1!$B$1:$Q$28,5,0)</f>
        <v>#N/A</v>
      </c>
      <c r="E116" s="25" t="e">
        <f>VLOOKUP(A116,Лист1!$B$1:$Q$28,3,0)</f>
        <v>#N/A</v>
      </c>
      <c r="F116" s="25" t="e">
        <f t="shared" si="3"/>
        <v>#N/A</v>
      </c>
      <c r="G116" t="e">
        <f>VLOOKUP(A116,Лист1!$B$1:$Q$28,4,0)</f>
        <v>#N/A</v>
      </c>
      <c r="H116" s="20"/>
      <c r="I116" t="s">
        <v>11</v>
      </c>
      <c r="J116" s="3" t="s">
        <v>79</v>
      </c>
      <c r="K116" t="s">
        <v>61</v>
      </c>
      <c r="L116" t="s">
        <v>7</v>
      </c>
      <c r="M116" t="s">
        <v>7</v>
      </c>
      <c r="N116" t="s">
        <v>9</v>
      </c>
      <c r="P116" s="1">
        <f t="shared" si="5"/>
        <v>0</v>
      </c>
    </row>
    <row r="117" spans="1:16" ht="75" x14ac:dyDescent="0.25">
      <c r="A117" s="3"/>
      <c r="B117" t="e">
        <f>VLOOKUP(A117,Лист1!$B$1:$Q$28,2,0)</f>
        <v>#N/A</v>
      </c>
      <c r="C117" t="e">
        <f>VLOOKUP(A117,Лист1!$B$1:$Q$28,5,0)</f>
        <v>#N/A</v>
      </c>
      <c r="E117" s="25" t="e">
        <f>VLOOKUP(A117,Лист1!$B$1:$Q$28,3,0)</f>
        <v>#N/A</v>
      </c>
      <c r="F117" s="25" t="e">
        <f t="shared" si="3"/>
        <v>#N/A</v>
      </c>
      <c r="G117" t="e">
        <f>VLOOKUP(A117,Лист1!$B$1:$Q$28,4,0)</f>
        <v>#N/A</v>
      </c>
      <c r="H117" s="20"/>
      <c r="I117" t="s">
        <v>11</v>
      </c>
      <c r="J117" s="3" t="s">
        <v>79</v>
      </c>
      <c r="K117" t="s">
        <v>61</v>
      </c>
      <c r="L117" t="s">
        <v>7</v>
      </c>
      <c r="M117" t="s">
        <v>7</v>
      </c>
      <c r="N117" t="s">
        <v>9</v>
      </c>
      <c r="P117" s="1">
        <f t="shared" si="5"/>
        <v>0</v>
      </c>
    </row>
    <row r="118" spans="1:16" ht="75" x14ac:dyDescent="0.25">
      <c r="A118" s="3"/>
      <c r="B118" t="e">
        <f>VLOOKUP(A118,Лист1!$B$1:$Q$28,2,0)</f>
        <v>#N/A</v>
      </c>
      <c r="C118" t="e">
        <f>VLOOKUP(A118,Лист1!$B$1:$Q$28,5,0)</f>
        <v>#N/A</v>
      </c>
      <c r="E118" s="25" t="e">
        <f>VLOOKUP(A118,Лист1!$B$1:$Q$28,3,0)</f>
        <v>#N/A</v>
      </c>
      <c r="F118" s="25" t="e">
        <f t="shared" si="3"/>
        <v>#N/A</v>
      </c>
      <c r="G118" t="e">
        <f>VLOOKUP(A118,Лист1!$B$1:$Q$28,4,0)</f>
        <v>#N/A</v>
      </c>
      <c r="H118" s="20"/>
      <c r="I118" t="s">
        <v>11</v>
      </c>
      <c r="J118" s="3" t="s">
        <v>79</v>
      </c>
      <c r="K118" t="s">
        <v>61</v>
      </c>
      <c r="L118" t="s">
        <v>7</v>
      </c>
      <c r="M118" t="s">
        <v>7</v>
      </c>
      <c r="N118" t="s">
        <v>9</v>
      </c>
      <c r="P118" s="1">
        <f t="shared" si="5"/>
        <v>0</v>
      </c>
    </row>
    <row r="119" spans="1:16" ht="75" x14ac:dyDescent="0.25">
      <c r="A119" s="3"/>
      <c r="B119" t="e">
        <f>VLOOKUP(#REF!,Лист1!$B$1:$J$82,2,0)</f>
        <v>#REF!</v>
      </c>
      <c r="C119" t="e">
        <f>VLOOKUP(A119,Лист1!$B$1:$Q$28,5,0)</f>
        <v>#N/A</v>
      </c>
      <c r="E119" s="25" t="e">
        <f>VLOOKUP(A119,Лист1!$B$1:$Q$28,3,0)</f>
        <v>#N/A</v>
      </c>
      <c r="F119" s="25" t="e">
        <f t="shared" si="3"/>
        <v>#N/A</v>
      </c>
      <c r="G119" t="e">
        <f>VLOOKUP(A119,Лист1!$B$1:$Q$28,4,0)</f>
        <v>#N/A</v>
      </c>
      <c r="H119" s="20"/>
      <c r="I119" t="s">
        <v>11</v>
      </c>
      <c r="J119" s="3" t="s">
        <v>79</v>
      </c>
      <c r="K119" t="s">
        <v>61</v>
      </c>
      <c r="L119" t="s">
        <v>7</v>
      </c>
      <c r="M119" t="s">
        <v>7</v>
      </c>
      <c r="N119" t="s">
        <v>9</v>
      </c>
      <c r="P119" s="1">
        <f t="shared" si="5"/>
        <v>0</v>
      </c>
    </row>
    <row r="120" spans="1:16" ht="75" x14ac:dyDescent="0.25">
      <c r="A120" s="3"/>
      <c r="B120" t="e">
        <f>VLOOKUP(#REF!,Лист1!$B$1:$J$82,2,0)</f>
        <v>#REF!</v>
      </c>
      <c r="C120" t="e">
        <f>VLOOKUP(A120,Лист1!$B$1:$Q$28,5,0)</f>
        <v>#N/A</v>
      </c>
      <c r="E120" s="25" t="e">
        <f>VLOOKUP(A120,Лист1!$B$1:$Q$28,3,0)</f>
        <v>#N/A</v>
      </c>
      <c r="F120" s="25" t="e">
        <f t="shared" si="3"/>
        <v>#N/A</v>
      </c>
      <c r="G120" t="e">
        <f>VLOOKUP(A120,Лист1!$B$1:$Q$28,4,0)</f>
        <v>#N/A</v>
      </c>
      <c r="H120" s="20"/>
      <c r="I120" t="s">
        <v>11</v>
      </c>
      <c r="J120" s="3" t="s">
        <v>79</v>
      </c>
      <c r="K120" t="s">
        <v>61</v>
      </c>
      <c r="L120" t="s">
        <v>7</v>
      </c>
      <c r="M120" t="s">
        <v>7</v>
      </c>
      <c r="N120" t="s">
        <v>9</v>
      </c>
      <c r="P120" s="1">
        <f t="shared" si="5"/>
        <v>0</v>
      </c>
    </row>
    <row r="121" spans="1:16" ht="75" x14ac:dyDescent="0.25">
      <c r="A121" s="3"/>
      <c r="B121" t="e">
        <f>VLOOKUP(#REF!,Лист1!$B$1:$J$82,2,0)</f>
        <v>#REF!</v>
      </c>
      <c r="C121" t="e">
        <f>VLOOKUP(A121,Лист1!$B$1:$Q$28,5,0)</f>
        <v>#N/A</v>
      </c>
      <c r="E121" s="25" t="e">
        <f>VLOOKUP(A121,Лист1!$B$1:$Q$28,3,0)</f>
        <v>#N/A</v>
      </c>
      <c r="F121" s="25" t="e">
        <f t="shared" si="3"/>
        <v>#N/A</v>
      </c>
      <c r="G121" t="e">
        <f>VLOOKUP(A121,Лист1!$B$1:$Q$28,4,0)</f>
        <v>#N/A</v>
      </c>
      <c r="H121" s="20"/>
      <c r="I121" t="s">
        <v>11</v>
      </c>
      <c r="J121" s="3" t="s">
        <v>79</v>
      </c>
      <c r="K121" t="s">
        <v>61</v>
      </c>
      <c r="L121" t="s">
        <v>7</v>
      </c>
      <c r="M121" t="s">
        <v>7</v>
      </c>
      <c r="N121" t="s">
        <v>9</v>
      </c>
      <c r="P121" s="1">
        <f t="shared" si="5"/>
        <v>0</v>
      </c>
    </row>
    <row r="122" spans="1:16" ht="75" x14ac:dyDescent="0.25">
      <c r="A122" s="3"/>
      <c r="B122" t="e">
        <f>VLOOKUP(#REF!,Лист1!$B$1:$J$82,2,0)</f>
        <v>#REF!</v>
      </c>
      <c r="C122" t="e">
        <f>VLOOKUP(A122,Лист1!$B$1:$Q$28,5,0)</f>
        <v>#N/A</v>
      </c>
      <c r="E122" s="25" t="e">
        <f>VLOOKUP(A122,Лист1!$B$1:$Q$28,3,0)</f>
        <v>#N/A</v>
      </c>
      <c r="F122" s="25" t="e">
        <f t="shared" si="3"/>
        <v>#N/A</v>
      </c>
      <c r="G122" t="e">
        <f>VLOOKUP(A122,Лист1!$B$1:$Q$28,4,0)</f>
        <v>#N/A</v>
      </c>
      <c r="H122" s="20"/>
      <c r="I122" t="s">
        <v>11</v>
      </c>
      <c r="J122" s="3" t="s">
        <v>79</v>
      </c>
      <c r="K122" t="s">
        <v>61</v>
      </c>
      <c r="L122" t="s">
        <v>7</v>
      </c>
      <c r="M122" t="s">
        <v>7</v>
      </c>
      <c r="N122" t="s">
        <v>9</v>
      </c>
      <c r="P122" s="1">
        <f t="shared" si="5"/>
        <v>0</v>
      </c>
    </row>
    <row r="123" spans="1:16" ht="75" x14ac:dyDescent="0.25">
      <c r="A123" s="3"/>
      <c r="B123" t="e">
        <f>VLOOKUP(#REF!,Лист1!$B$1:$J$82,2,0)</f>
        <v>#REF!</v>
      </c>
      <c r="C123" t="e">
        <f>VLOOKUP(A123,Лист1!$B$1:$Q$28,5,0)</f>
        <v>#N/A</v>
      </c>
      <c r="E123" s="25" t="e">
        <f>VLOOKUP(A123,Лист1!$B$1:$Q$28,3,0)</f>
        <v>#N/A</v>
      </c>
      <c r="F123" s="25" t="e">
        <f t="shared" si="3"/>
        <v>#N/A</v>
      </c>
      <c r="G123" t="e">
        <f>VLOOKUP(A123,Лист1!$B$1:$Q$28,4,0)</f>
        <v>#N/A</v>
      </c>
      <c r="H123" s="20"/>
      <c r="I123" t="s">
        <v>11</v>
      </c>
      <c r="J123" s="3" t="s">
        <v>79</v>
      </c>
      <c r="K123" t="s">
        <v>61</v>
      </c>
      <c r="L123" t="s">
        <v>7</v>
      </c>
      <c r="M123" t="s">
        <v>7</v>
      </c>
      <c r="N123" t="s">
        <v>9</v>
      </c>
      <c r="P123" s="1">
        <f t="shared" si="5"/>
        <v>0</v>
      </c>
    </row>
    <row r="124" spans="1:16" ht="75" x14ac:dyDescent="0.25">
      <c r="A124" s="3"/>
      <c r="B124" t="e">
        <f>VLOOKUP(#REF!,Лист1!$B$1:$J$82,2,0)</f>
        <v>#REF!</v>
      </c>
      <c r="C124" t="e">
        <f>VLOOKUP(A124,Лист1!$B$1:$Q$28,5,0)</f>
        <v>#N/A</v>
      </c>
      <c r="E124" s="25" t="e">
        <f>VLOOKUP(A124,Лист1!$B$1:$Q$28,3,0)</f>
        <v>#N/A</v>
      </c>
      <c r="F124" s="25" t="e">
        <f t="shared" si="3"/>
        <v>#N/A</v>
      </c>
      <c r="G124" t="e">
        <f>VLOOKUP(A124,Лист1!$B$1:$Q$28,4,0)</f>
        <v>#N/A</v>
      </c>
      <c r="H124" s="20"/>
      <c r="I124" t="s">
        <v>11</v>
      </c>
      <c r="J124" s="3" t="s">
        <v>79</v>
      </c>
      <c r="K124" t="s">
        <v>61</v>
      </c>
      <c r="L124" t="s">
        <v>7</v>
      </c>
      <c r="M124" t="s">
        <v>7</v>
      </c>
      <c r="N124" t="s">
        <v>9</v>
      </c>
      <c r="P124" s="1">
        <f t="shared" si="5"/>
        <v>0</v>
      </c>
    </row>
    <row r="125" spans="1:16" ht="75" x14ac:dyDescent="0.25">
      <c r="A125" s="3"/>
      <c r="B125" t="e">
        <f>VLOOKUP(#REF!,Лист1!$B$1:$J$82,2,0)</f>
        <v>#REF!</v>
      </c>
      <c r="C125" t="e">
        <f>VLOOKUP(A125,Лист1!$B$1:$Q$28,5,0)</f>
        <v>#N/A</v>
      </c>
      <c r="E125" s="25" t="e">
        <f>VLOOKUP(A125,Лист1!$B$1:$Q$28,3,0)</f>
        <v>#N/A</v>
      </c>
      <c r="F125" s="25"/>
      <c r="G125" t="e">
        <f>VLOOKUP(A125,Лист1!$B$1:$Q$28,4,0)</f>
        <v>#N/A</v>
      </c>
      <c r="H125" s="20"/>
      <c r="I125" t="s">
        <v>11</v>
      </c>
      <c r="J125" s="3" t="s">
        <v>79</v>
      </c>
      <c r="K125" t="s">
        <v>61</v>
      </c>
      <c r="L125" t="s">
        <v>7</v>
      </c>
      <c r="M125" t="s">
        <v>7</v>
      </c>
      <c r="N125" t="s">
        <v>9</v>
      </c>
      <c r="P125" s="1">
        <f t="shared" si="5"/>
        <v>0</v>
      </c>
    </row>
    <row r="126" spans="1:16" ht="75" x14ac:dyDescent="0.25">
      <c r="A126" s="3"/>
      <c r="B126" t="e">
        <f>VLOOKUP(#REF!,Лист1!$B$1:$J$82,2,0)</f>
        <v>#REF!</v>
      </c>
      <c r="C126" t="e">
        <f>VLOOKUP(A126,Лист1!$B$1:$Q$28,5,0)</f>
        <v>#N/A</v>
      </c>
      <c r="E126" s="25" t="e">
        <f>VLOOKUP(A126,Лист1!$B$1:$Q$28,3,0)</f>
        <v>#N/A</v>
      </c>
      <c r="F126" s="25"/>
      <c r="G126" t="e">
        <f>VLOOKUP(A126,Лист1!$B$1:$Q$28,4,0)</f>
        <v>#N/A</v>
      </c>
      <c r="H126" s="20"/>
      <c r="I126" t="s">
        <v>11</v>
      </c>
      <c r="J126" s="3" t="s">
        <v>79</v>
      </c>
      <c r="K126" t="s">
        <v>61</v>
      </c>
      <c r="L126" t="s">
        <v>7</v>
      </c>
      <c r="M126" t="s">
        <v>7</v>
      </c>
      <c r="N126" t="s">
        <v>9</v>
      </c>
      <c r="P126" s="1">
        <f t="shared" si="5"/>
        <v>0</v>
      </c>
    </row>
    <row r="127" spans="1:16" ht="75" x14ac:dyDescent="0.25">
      <c r="A127" s="3"/>
      <c r="B127" t="e">
        <f>VLOOKUP(#REF!,Лист1!$B$1:$J$82,2,0)</f>
        <v>#REF!</v>
      </c>
      <c r="C127" t="e">
        <f>VLOOKUP(A127,Лист1!$B$1:$Q$28,5,0)</f>
        <v>#N/A</v>
      </c>
      <c r="E127" s="25" t="e">
        <f>VLOOKUP(A127,Лист1!$B$1:$Q$28,3,0)</f>
        <v>#N/A</v>
      </c>
      <c r="F127" s="25"/>
      <c r="G127" t="e">
        <f>VLOOKUP(A127,Лист1!$B$1:$Q$28,4,0)</f>
        <v>#N/A</v>
      </c>
      <c r="H127" s="20"/>
      <c r="I127" t="s">
        <v>11</v>
      </c>
      <c r="J127" s="3" t="s">
        <v>79</v>
      </c>
      <c r="K127" t="s">
        <v>61</v>
      </c>
      <c r="L127" t="s">
        <v>7</v>
      </c>
      <c r="M127" t="s">
        <v>7</v>
      </c>
      <c r="N127" t="s">
        <v>9</v>
      </c>
      <c r="P127" s="1">
        <f t="shared" si="5"/>
        <v>0</v>
      </c>
    </row>
    <row r="128" spans="1:16" ht="75" x14ac:dyDescent="0.25">
      <c r="B128" t="e">
        <f>VLOOKUP(#REF!,Лист1!$B$1:$J$82,2,0)</f>
        <v>#REF!</v>
      </c>
      <c r="C128" t="e">
        <f>VLOOKUP(A128,Лист1!$B$1:$Q$28,5,0)</f>
        <v>#N/A</v>
      </c>
      <c r="E128" s="25" t="e">
        <f>VLOOKUP(A128,Лист1!$B$1:$Q$28,3,0)</f>
        <v>#N/A</v>
      </c>
      <c r="F128" s="25"/>
      <c r="G128" t="e">
        <f>VLOOKUP(A128,Лист1!$B$1:$Q$28,4,0)</f>
        <v>#N/A</v>
      </c>
      <c r="H128" s="20"/>
      <c r="I128" t="s">
        <v>11</v>
      </c>
      <c r="J128" s="3" t="s">
        <v>79</v>
      </c>
      <c r="K128" t="s">
        <v>61</v>
      </c>
      <c r="L128" t="s">
        <v>7</v>
      </c>
      <c r="M128" t="s">
        <v>7</v>
      </c>
      <c r="N128" t="s">
        <v>9</v>
      </c>
      <c r="P128" s="1">
        <f t="shared" si="5"/>
        <v>0</v>
      </c>
    </row>
    <row r="129" spans="2:16" ht="75" x14ac:dyDescent="0.25">
      <c r="B129" t="e">
        <f>VLOOKUP(#REF!,Лист1!$B$1:$J$82,2,0)</f>
        <v>#REF!</v>
      </c>
      <c r="C129" t="e">
        <f>VLOOKUP(A129,Лист1!$B$1:$Q$28,5,0)</f>
        <v>#N/A</v>
      </c>
      <c r="E129" s="25" t="e">
        <f>VLOOKUP(A129,Лист1!$B$1:$Q$28,3,0)</f>
        <v>#N/A</v>
      </c>
      <c r="F129" s="25"/>
      <c r="G129" t="e">
        <f>VLOOKUP(A129,Лист1!$B$1:$Q$28,4,0)</f>
        <v>#N/A</v>
      </c>
      <c r="H129" s="20"/>
      <c r="I129" t="s">
        <v>11</v>
      </c>
      <c r="J129" s="3" t="s">
        <v>79</v>
      </c>
      <c r="K129" t="s">
        <v>61</v>
      </c>
      <c r="L129" t="s">
        <v>7</v>
      </c>
      <c r="M129" t="s">
        <v>7</v>
      </c>
      <c r="N129" t="s">
        <v>9</v>
      </c>
      <c r="P129" s="1">
        <f t="shared" si="5"/>
        <v>0</v>
      </c>
    </row>
    <row r="130" spans="2:16" ht="75" x14ac:dyDescent="0.25">
      <c r="B130" t="e">
        <f>VLOOKUP(#REF!,Лист1!$B$1:$J$82,2,0)</f>
        <v>#REF!</v>
      </c>
      <c r="C130" t="e">
        <f>VLOOKUP(A130,Лист1!$B$1:$Q$28,5,0)</f>
        <v>#N/A</v>
      </c>
      <c r="E130" s="25" t="e">
        <f>VLOOKUP(A130,Лист1!$B$1:$Q$28,3,0)</f>
        <v>#N/A</v>
      </c>
      <c r="F130" s="25"/>
      <c r="G130" t="e">
        <f>VLOOKUP(A130,Лист1!$B$1:$Q$28,4,0)</f>
        <v>#N/A</v>
      </c>
      <c r="H130" s="20"/>
      <c r="I130" t="s">
        <v>11</v>
      </c>
      <c r="J130" s="3" t="s">
        <v>79</v>
      </c>
      <c r="K130" t="s">
        <v>61</v>
      </c>
      <c r="L130" t="s">
        <v>7</v>
      </c>
      <c r="M130" t="s">
        <v>7</v>
      </c>
      <c r="N130" t="s">
        <v>9</v>
      </c>
      <c r="P130" s="1">
        <f t="shared" si="5"/>
        <v>0</v>
      </c>
    </row>
    <row r="131" spans="2:16" ht="75" x14ac:dyDescent="0.25">
      <c r="B131" t="e">
        <f>VLOOKUP(#REF!,Лист1!$B$1:$J$82,2,0)</f>
        <v>#REF!</v>
      </c>
      <c r="C131" t="e">
        <f>VLOOKUP(A131,Лист1!$B$1:$Q$28,5,0)</f>
        <v>#N/A</v>
      </c>
      <c r="E131" s="25" t="e">
        <f>VLOOKUP(A131,Лист1!$B$1:$Q$28,3,0)</f>
        <v>#N/A</v>
      </c>
      <c r="F131" s="25"/>
      <c r="G131" t="e">
        <f>VLOOKUP(A131,Лист1!$B$1:$Q$28,4,0)</f>
        <v>#N/A</v>
      </c>
      <c r="H131" s="20"/>
      <c r="I131" t="s">
        <v>11</v>
      </c>
      <c r="J131" s="3" t="s">
        <v>79</v>
      </c>
      <c r="K131" t="s">
        <v>61</v>
      </c>
      <c r="L131" t="s">
        <v>7</v>
      </c>
      <c r="M131" t="s">
        <v>7</v>
      </c>
      <c r="N131" t="s">
        <v>9</v>
      </c>
      <c r="P131" s="1">
        <f t="shared" si="5"/>
        <v>0</v>
      </c>
    </row>
    <row r="132" spans="2:16" ht="75" x14ac:dyDescent="0.25">
      <c r="B132" t="e">
        <f>VLOOKUP(#REF!,Лист1!$B$1:$J$82,2,0)</f>
        <v>#REF!</v>
      </c>
      <c r="C132" t="e">
        <f>VLOOKUP(A132,Лист1!$B$1:$Q$28,5,0)</f>
        <v>#N/A</v>
      </c>
      <c r="E132" s="25" t="e">
        <f>VLOOKUP(A132,Лист1!$B$1:$Q$28,3,0)</f>
        <v>#N/A</v>
      </c>
      <c r="F132" s="25"/>
      <c r="G132" t="e">
        <f>VLOOKUP(A132,Лист1!$B$1:$Q$28,4,0)</f>
        <v>#N/A</v>
      </c>
      <c r="H132" s="20"/>
      <c r="I132" t="s">
        <v>11</v>
      </c>
      <c r="J132" s="3" t="s">
        <v>79</v>
      </c>
      <c r="K132" t="s">
        <v>61</v>
      </c>
      <c r="L132" t="s">
        <v>7</v>
      </c>
      <c r="M132" t="s">
        <v>7</v>
      </c>
      <c r="N132" t="s">
        <v>9</v>
      </c>
      <c r="P132" s="1">
        <f t="shared" si="5"/>
        <v>0</v>
      </c>
    </row>
    <row r="133" spans="2:16" ht="75" x14ac:dyDescent="0.25">
      <c r="B133" t="e">
        <f>VLOOKUP(#REF!,Лист1!$B$1:$J$82,2,0)</f>
        <v>#REF!</v>
      </c>
      <c r="C133" t="e">
        <f>VLOOKUP(A133,Лист1!$B$1:$Q$28,5,0)</f>
        <v>#N/A</v>
      </c>
      <c r="E133" s="25" t="e">
        <f>VLOOKUP(A133,Лист1!$B$1:$Q$28,3,0)</f>
        <v>#N/A</v>
      </c>
      <c r="F133" s="25"/>
      <c r="G133" t="e">
        <f>VLOOKUP(A133,Лист1!$B$1:$Q$28,4,0)</f>
        <v>#N/A</v>
      </c>
      <c r="H133" s="20"/>
      <c r="I133" t="s">
        <v>11</v>
      </c>
      <c r="J133" s="3" t="s">
        <v>79</v>
      </c>
      <c r="K133" t="s">
        <v>61</v>
      </c>
      <c r="L133" t="s">
        <v>7</v>
      </c>
      <c r="M133" t="s">
        <v>7</v>
      </c>
      <c r="N133" t="s">
        <v>9</v>
      </c>
      <c r="P133" s="1">
        <f t="shared" si="5"/>
        <v>0</v>
      </c>
    </row>
    <row r="134" spans="2:16" ht="75" x14ac:dyDescent="0.25">
      <c r="B134" t="e">
        <f>VLOOKUP(#REF!,Лист1!$B$1:$J$82,2,0)</f>
        <v>#REF!</v>
      </c>
      <c r="C134" t="e">
        <f>VLOOKUP(A134,Лист1!$B$1:$Q$28,5,0)</f>
        <v>#N/A</v>
      </c>
      <c r="E134" s="25" t="e">
        <f>VLOOKUP(A134,Лист1!$B$1:$Q$28,3,0)</f>
        <v>#N/A</v>
      </c>
      <c r="F134" s="25"/>
      <c r="G134" t="e">
        <f>VLOOKUP(A134,Лист1!$B$1:$Q$28,4,0)</f>
        <v>#N/A</v>
      </c>
      <c r="H134" s="20"/>
      <c r="I134" t="s">
        <v>11</v>
      </c>
      <c r="J134" s="3" t="s">
        <v>79</v>
      </c>
      <c r="K134" t="s">
        <v>61</v>
      </c>
      <c r="L134" t="s">
        <v>7</v>
      </c>
      <c r="M134" t="s">
        <v>7</v>
      </c>
      <c r="N134" t="s">
        <v>9</v>
      </c>
      <c r="P134" s="1">
        <f t="shared" si="5"/>
        <v>0</v>
      </c>
    </row>
    <row r="135" spans="2:16" ht="75" x14ac:dyDescent="0.25">
      <c r="B135" t="e">
        <f>VLOOKUP(#REF!,Лист1!$B$1:$J$82,2,0)</f>
        <v>#REF!</v>
      </c>
      <c r="C135" t="e">
        <f>VLOOKUP(A135,Лист1!$B$1:$Q$28,5,0)</f>
        <v>#N/A</v>
      </c>
      <c r="E135" s="25" t="e">
        <f>VLOOKUP(A135,Лист1!$B$1:$Q$28,3,0)</f>
        <v>#N/A</v>
      </c>
      <c r="F135" s="25"/>
      <c r="G135" t="e">
        <f>VLOOKUP(A135,Лист1!$B$1:$Q$28,4,0)</f>
        <v>#N/A</v>
      </c>
      <c r="H135" s="20"/>
      <c r="I135" t="s">
        <v>11</v>
      </c>
      <c r="J135" s="3" t="s">
        <v>79</v>
      </c>
      <c r="K135" t="s">
        <v>61</v>
      </c>
      <c r="L135" t="s">
        <v>7</v>
      </c>
      <c r="M135" t="s">
        <v>7</v>
      </c>
      <c r="N135" t="s">
        <v>9</v>
      </c>
      <c r="P135" s="1">
        <f t="shared" si="5"/>
        <v>0</v>
      </c>
    </row>
    <row r="136" spans="2:16" ht="75" x14ac:dyDescent="0.25">
      <c r="B136" t="e">
        <f>VLOOKUP(#REF!,Лист1!$B$1:$J$82,2,0)</f>
        <v>#REF!</v>
      </c>
      <c r="C136" t="e">
        <f>VLOOKUP(A136,Лист1!$B$1:$Q$28,5,0)</f>
        <v>#N/A</v>
      </c>
      <c r="E136" s="25" t="e">
        <f>VLOOKUP(A136,Лист1!$B$1:$Q$28,3,0)</f>
        <v>#N/A</v>
      </c>
      <c r="F136" s="25"/>
      <c r="G136" t="e">
        <f>VLOOKUP(A136,Лист1!$B$1:$Q$28,4,0)</f>
        <v>#N/A</v>
      </c>
      <c r="H136" s="20"/>
      <c r="I136" t="s">
        <v>11</v>
      </c>
      <c r="J136" s="3" t="s">
        <v>79</v>
      </c>
      <c r="K136" t="s">
        <v>61</v>
      </c>
      <c r="L136" t="s">
        <v>7</v>
      </c>
      <c r="M136" t="s">
        <v>7</v>
      </c>
      <c r="N136" t="s">
        <v>9</v>
      </c>
      <c r="P136" s="1">
        <f t="shared" si="5"/>
        <v>0</v>
      </c>
    </row>
    <row r="137" spans="2:16" ht="75" x14ac:dyDescent="0.25">
      <c r="B137" t="e">
        <f>VLOOKUP(#REF!,Лист1!$B$1:$J$82,2,0)</f>
        <v>#REF!</v>
      </c>
      <c r="C137" t="e">
        <f>VLOOKUP(A137,Лист1!$B$1:$Q$28,5,0)</f>
        <v>#N/A</v>
      </c>
      <c r="E137" s="25" t="e">
        <f>VLOOKUP(A137,Лист1!$B$1:$Q$28,3,0)</f>
        <v>#N/A</v>
      </c>
      <c r="F137" s="25"/>
      <c r="G137" t="e">
        <f>VLOOKUP(A137,Лист1!$B$1:$Q$28,4,0)</f>
        <v>#N/A</v>
      </c>
      <c r="H137" s="20"/>
      <c r="I137" t="s">
        <v>11</v>
      </c>
      <c r="J137" s="3" t="s">
        <v>79</v>
      </c>
      <c r="K137" t="s">
        <v>61</v>
      </c>
      <c r="L137" t="s">
        <v>7</v>
      </c>
      <c r="M137" t="s">
        <v>7</v>
      </c>
      <c r="N137" t="s">
        <v>9</v>
      </c>
      <c r="P137" s="1">
        <f t="shared" si="5"/>
        <v>0</v>
      </c>
    </row>
    <row r="138" spans="2:16" ht="75" x14ac:dyDescent="0.25">
      <c r="B138" t="e">
        <f>VLOOKUP(#REF!,Лист1!$B$1:$J$82,2,0)</f>
        <v>#REF!</v>
      </c>
      <c r="C138" t="e">
        <f>VLOOKUP(A138,Лист1!$B$1:$Q$28,5,0)</f>
        <v>#N/A</v>
      </c>
      <c r="E138" s="25" t="e">
        <f>VLOOKUP(A138,Лист1!$B$1:$Q$28,3,0)</f>
        <v>#N/A</v>
      </c>
      <c r="F138" s="25"/>
      <c r="G138" t="e">
        <f>VLOOKUP(A138,Лист1!$B$1:$Q$28,4,0)</f>
        <v>#N/A</v>
      </c>
      <c r="H138" s="20"/>
      <c r="I138" t="s">
        <v>11</v>
      </c>
      <c r="J138" s="3" t="s">
        <v>79</v>
      </c>
      <c r="K138" t="s">
        <v>61</v>
      </c>
      <c r="L138" t="s">
        <v>7</v>
      </c>
      <c r="M138" t="s">
        <v>7</v>
      </c>
      <c r="N138" t="s">
        <v>9</v>
      </c>
      <c r="P138" s="1">
        <f t="shared" si="5"/>
        <v>0</v>
      </c>
    </row>
    <row r="139" spans="2:16" ht="75" x14ac:dyDescent="0.25">
      <c r="B139" t="e">
        <f>VLOOKUP(#REF!,Лист1!$B$1:$J$82,2,0)</f>
        <v>#REF!</v>
      </c>
      <c r="C139" t="e">
        <f>VLOOKUP(A139,Лист1!$B$1:$Q$28,5,0)</f>
        <v>#N/A</v>
      </c>
      <c r="E139" s="25" t="e">
        <f>VLOOKUP(A139,Лист1!$B$1:$Q$28,3,0)</f>
        <v>#N/A</v>
      </c>
      <c r="F139" s="25"/>
      <c r="G139" t="e">
        <f>VLOOKUP(A139,Лист1!$B$1:$Q$28,4,0)</f>
        <v>#N/A</v>
      </c>
      <c r="H139" s="20"/>
      <c r="I139" t="s">
        <v>11</v>
      </c>
      <c r="J139" s="3" t="s">
        <v>79</v>
      </c>
      <c r="K139" t="s">
        <v>61</v>
      </c>
      <c r="L139" t="s">
        <v>7</v>
      </c>
      <c r="M139" t="s">
        <v>7</v>
      </c>
      <c r="N139" t="s">
        <v>9</v>
      </c>
      <c r="P139" s="1">
        <f t="shared" si="5"/>
        <v>0</v>
      </c>
    </row>
    <row r="140" spans="2:16" ht="75" x14ac:dyDescent="0.25">
      <c r="B140" t="e">
        <f>VLOOKUP(#REF!,Лист1!$B$1:$J$82,2,0)</f>
        <v>#REF!</v>
      </c>
      <c r="C140" t="e">
        <f>VLOOKUP(A140,Лист1!$B$1:$Q$28,5,0)</f>
        <v>#N/A</v>
      </c>
      <c r="E140" s="25" t="e">
        <f>VLOOKUP(A140,Лист1!$B$1:$Q$28,3,0)</f>
        <v>#N/A</v>
      </c>
      <c r="F140" s="25"/>
      <c r="G140" t="e">
        <f>VLOOKUP(A140,Лист1!$B$1:$Q$28,4,0)</f>
        <v>#N/A</v>
      </c>
      <c r="H140" s="20"/>
      <c r="I140" t="s">
        <v>11</v>
      </c>
      <c r="J140" s="3" t="s">
        <v>79</v>
      </c>
      <c r="K140" t="s">
        <v>61</v>
      </c>
      <c r="L140" t="s">
        <v>7</v>
      </c>
      <c r="M140" t="s">
        <v>7</v>
      </c>
      <c r="N140" t="s">
        <v>9</v>
      </c>
      <c r="P140" s="1">
        <f t="shared" si="5"/>
        <v>0</v>
      </c>
    </row>
    <row r="141" spans="2:16" ht="75" x14ac:dyDescent="0.25">
      <c r="B141" t="e">
        <f>VLOOKUP(#REF!,Лист1!$B$1:$J$82,2,0)</f>
        <v>#REF!</v>
      </c>
      <c r="C141" t="e">
        <f>VLOOKUP(A141,Лист1!$B$1:$Q$28,5,0)</f>
        <v>#N/A</v>
      </c>
      <c r="E141" s="25" t="e">
        <f>VLOOKUP(A141,Лист1!$B$1:$Q$28,3,0)</f>
        <v>#N/A</v>
      </c>
      <c r="F141" s="25"/>
      <c r="G141" t="e">
        <f>VLOOKUP(A141,Лист1!$B$1:$Q$28,4,0)</f>
        <v>#N/A</v>
      </c>
      <c r="H141" s="20"/>
      <c r="I141" t="s">
        <v>11</v>
      </c>
      <c r="J141" s="3" t="s">
        <v>79</v>
      </c>
      <c r="K141" t="s">
        <v>61</v>
      </c>
      <c r="L141" t="s">
        <v>7</v>
      </c>
      <c r="M141" t="s">
        <v>7</v>
      </c>
      <c r="N141" t="s">
        <v>9</v>
      </c>
      <c r="P141" s="1">
        <f t="shared" si="5"/>
        <v>0</v>
      </c>
    </row>
    <row r="142" spans="2:16" ht="75" x14ac:dyDescent="0.25">
      <c r="B142" t="e">
        <f>VLOOKUP(#REF!,Лист1!$B$1:$J$82,2,0)</f>
        <v>#REF!</v>
      </c>
      <c r="C142" t="e">
        <f>VLOOKUP(A142,Лист1!$B$1:$Q$28,5,0)</f>
        <v>#N/A</v>
      </c>
      <c r="E142" s="25" t="e">
        <f>VLOOKUP(A142,Лист1!$B$1:$Q$28,3,0)</f>
        <v>#N/A</v>
      </c>
      <c r="F142" s="25"/>
      <c r="G142" t="e">
        <f>VLOOKUP(A142,Лист1!$B$1:$Q$28,4,0)</f>
        <v>#N/A</v>
      </c>
      <c r="H142" s="20"/>
      <c r="I142" t="s">
        <v>11</v>
      </c>
      <c r="J142" s="3" t="s">
        <v>79</v>
      </c>
      <c r="K142" t="s">
        <v>61</v>
      </c>
      <c r="L142" t="s">
        <v>7</v>
      </c>
      <c r="M142" t="s">
        <v>7</v>
      </c>
      <c r="N142" t="s">
        <v>9</v>
      </c>
      <c r="P142" s="1">
        <f t="shared" si="5"/>
        <v>0</v>
      </c>
    </row>
    <row r="143" spans="2:16" ht="75" x14ac:dyDescent="0.25">
      <c r="B143" t="e">
        <f>VLOOKUP(#REF!,Лист1!$B$1:$J$82,2,0)</f>
        <v>#REF!</v>
      </c>
      <c r="C143" t="e">
        <f>VLOOKUP(A143,Лист1!$B$1:$Q$28,5,0)</f>
        <v>#N/A</v>
      </c>
      <c r="E143" s="25" t="e">
        <f>VLOOKUP(A143,Лист1!$B$1:$Q$28,3,0)</f>
        <v>#N/A</v>
      </c>
      <c r="F143" s="25"/>
      <c r="G143" t="e">
        <f>VLOOKUP(A143,Лист1!$B$1:$Q$28,4,0)</f>
        <v>#N/A</v>
      </c>
      <c r="H143" s="20"/>
      <c r="I143" t="s">
        <v>11</v>
      </c>
      <c r="J143" s="3" t="s">
        <v>79</v>
      </c>
      <c r="K143" t="s">
        <v>61</v>
      </c>
      <c r="L143" t="s">
        <v>7</v>
      </c>
      <c r="M143" t="s">
        <v>7</v>
      </c>
      <c r="N143" t="s">
        <v>9</v>
      </c>
      <c r="P143" s="1">
        <f t="shared" si="5"/>
        <v>0</v>
      </c>
    </row>
    <row r="144" spans="2:16" ht="75" x14ac:dyDescent="0.25">
      <c r="B144" t="e">
        <f>VLOOKUP(#REF!,Лист1!$B$1:$J$82,2,0)</f>
        <v>#REF!</v>
      </c>
      <c r="C144" t="e">
        <f>VLOOKUP(A144,Лист1!$B$1:$Q$28,5,0)</f>
        <v>#N/A</v>
      </c>
      <c r="E144" s="25" t="e">
        <f>VLOOKUP(A144,Лист1!$B$1:$Q$28,3,0)</f>
        <v>#N/A</v>
      </c>
      <c r="F144" s="25"/>
      <c r="G144" t="e">
        <f>VLOOKUP(A144,Лист1!$B$1:$Q$28,4,0)</f>
        <v>#N/A</v>
      </c>
      <c r="H144" s="20"/>
      <c r="I144" t="s">
        <v>11</v>
      </c>
      <c r="J144" s="3" t="s">
        <v>79</v>
      </c>
      <c r="K144" t="s">
        <v>61</v>
      </c>
      <c r="L144" t="s">
        <v>7</v>
      </c>
      <c r="M144" t="s">
        <v>7</v>
      </c>
      <c r="N144" t="s">
        <v>9</v>
      </c>
      <c r="P144" s="1">
        <f t="shared" si="5"/>
        <v>0</v>
      </c>
    </row>
    <row r="145" spans="2:16" ht="75" x14ac:dyDescent="0.25">
      <c r="B145" t="e">
        <f>VLOOKUP(#REF!,Лист1!$B$1:$J$82,2,0)</f>
        <v>#REF!</v>
      </c>
      <c r="C145" t="e">
        <f>VLOOKUP(A145,Лист1!$B$1:$Q$28,5,0)</f>
        <v>#N/A</v>
      </c>
      <c r="E145" s="25" t="e">
        <f>VLOOKUP(A145,Лист1!$B$1:$Q$28,3,0)</f>
        <v>#N/A</v>
      </c>
      <c r="F145" s="25"/>
      <c r="G145" t="e">
        <f>VLOOKUP(A145,Лист1!$B$1:$Q$28,4,0)</f>
        <v>#N/A</v>
      </c>
      <c r="H145" s="20"/>
      <c r="I145" t="s">
        <v>11</v>
      </c>
      <c r="J145" s="3" t="s">
        <v>79</v>
      </c>
      <c r="K145" t="s">
        <v>61</v>
      </c>
      <c r="L145" t="s">
        <v>7</v>
      </c>
      <c r="M145" t="s">
        <v>7</v>
      </c>
      <c r="N145" t="s">
        <v>9</v>
      </c>
      <c r="P145" s="1">
        <f t="shared" si="5"/>
        <v>0</v>
      </c>
    </row>
    <row r="146" spans="2:16" ht="75" x14ac:dyDescent="0.25">
      <c r="B146" t="e">
        <f>VLOOKUP(#REF!,Лист1!$B$1:$J$82,2,0)</f>
        <v>#REF!</v>
      </c>
      <c r="C146" t="e">
        <f>VLOOKUP(A146,Лист1!$B$1:$Q$28,5,0)</f>
        <v>#N/A</v>
      </c>
      <c r="E146" s="25" t="e">
        <f>VLOOKUP(A146,Лист1!$B$1:$Q$28,3,0)</f>
        <v>#N/A</v>
      </c>
      <c r="F146" s="25"/>
      <c r="G146" t="e">
        <f>VLOOKUP(A146,Лист1!$B$1:$Q$28,4,0)</f>
        <v>#N/A</v>
      </c>
      <c r="H146" s="20"/>
      <c r="I146" t="s">
        <v>11</v>
      </c>
      <c r="J146" s="3" t="s">
        <v>79</v>
      </c>
      <c r="K146" t="s">
        <v>61</v>
      </c>
      <c r="L146" t="s">
        <v>7</v>
      </c>
      <c r="M146" t="s">
        <v>7</v>
      </c>
      <c r="N146" t="s">
        <v>9</v>
      </c>
      <c r="P146" s="1">
        <f t="shared" si="5"/>
        <v>0</v>
      </c>
    </row>
    <row r="147" spans="2:16" ht="75" x14ac:dyDescent="0.25">
      <c r="B147" t="e">
        <f>VLOOKUP(#REF!,Лист1!$B$1:$J$82,2,0)</f>
        <v>#REF!</v>
      </c>
      <c r="C147" t="e">
        <f>VLOOKUP(A147,Лист1!$B$1:$Q$28,5,0)</f>
        <v>#N/A</v>
      </c>
      <c r="E147" s="25" t="e">
        <f>VLOOKUP(A147,Лист1!$B$1:$Q$28,3,0)</f>
        <v>#N/A</v>
      </c>
      <c r="F147" s="25"/>
      <c r="G147" t="e">
        <f>VLOOKUP(A147,Лист1!$B$1:$Q$28,4,0)</f>
        <v>#N/A</v>
      </c>
      <c r="H147" s="20"/>
      <c r="I147" t="s">
        <v>11</v>
      </c>
      <c r="J147" s="3" t="s">
        <v>79</v>
      </c>
      <c r="K147" t="s">
        <v>61</v>
      </c>
      <c r="L147" t="s">
        <v>7</v>
      </c>
      <c r="M147" t="s">
        <v>7</v>
      </c>
      <c r="N147" t="s">
        <v>9</v>
      </c>
      <c r="O147" t="e">
        <f>#REF!*D147</f>
        <v>#REF!</v>
      </c>
      <c r="P147" s="1" t="e">
        <f t="shared" si="5"/>
        <v>#REF!</v>
      </c>
    </row>
    <row r="148" spans="2:16" ht="75" x14ac:dyDescent="0.25">
      <c r="B148" t="e">
        <f>VLOOKUP(#REF!,Лист1!$B$1:$J$82,2,0)</f>
        <v>#REF!</v>
      </c>
      <c r="C148" t="e">
        <f>VLOOKUP(A148,Лист1!$B$1:$Q$28,5,0)</f>
        <v>#N/A</v>
      </c>
      <c r="E148" s="25" t="e">
        <f>VLOOKUP(A148,Лист1!$B$1:$Q$28,3,0)</f>
        <v>#N/A</v>
      </c>
      <c r="F148" s="25"/>
      <c r="G148" t="e">
        <f>VLOOKUP(A148,Лист1!$B$1:$Q$28,4,0)</f>
        <v>#N/A</v>
      </c>
      <c r="H148" s="20"/>
      <c r="I148" t="s">
        <v>11</v>
      </c>
      <c r="J148" s="3" t="s">
        <v>79</v>
      </c>
      <c r="K148" t="s">
        <v>61</v>
      </c>
      <c r="L148" t="s">
        <v>7</v>
      </c>
      <c r="M148" t="s">
        <v>7</v>
      </c>
      <c r="N148" t="s">
        <v>9</v>
      </c>
      <c r="O148" t="e">
        <f>#REF!*D148</f>
        <v>#REF!</v>
      </c>
      <c r="P148" s="1" t="e">
        <f t="shared" si="5"/>
        <v>#REF!</v>
      </c>
    </row>
    <row r="149" spans="2:16" ht="75" x14ac:dyDescent="0.25">
      <c r="B149" t="e">
        <f>VLOOKUP(#REF!,Лист1!$B$1:$J$82,2,0)</f>
        <v>#REF!</v>
      </c>
      <c r="C149" t="e">
        <f>VLOOKUP(A149,Лист1!$B$1:$Q$28,5,0)</f>
        <v>#N/A</v>
      </c>
      <c r="E149" s="25" t="e">
        <f>VLOOKUP(A149,Лист1!$B$1:$Q$28,3,0)</f>
        <v>#N/A</v>
      </c>
      <c r="F149" s="25"/>
      <c r="G149" t="e">
        <f>VLOOKUP(A149,Лист1!$B$1:$Q$28,4,0)</f>
        <v>#N/A</v>
      </c>
      <c r="H149" s="20"/>
      <c r="I149" t="s">
        <v>11</v>
      </c>
      <c r="J149" s="3" t="s">
        <v>79</v>
      </c>
      <c r="K149" t="s">
        <v>61</v>
      </c>
      <c r="L149" t="s">
        <v>7</v>
      </c>
      <c r="M149" t="s">
        <v>7</v>
      </c>
      <c r="N149" t="s">
        <v>9</v>
      </c>
      <c r="O149" t="e">
        <f>#REF!*D149</f>
        <v>#REF!</v>
      </c>
      <c r="P149" s="1" t="e">
        <f t="shared" si="5"/>
        <v>#REF!</v>
      </c>
    </row>
    <row r="150" spans="2:16" ht="75" x14ac:dyDescent="0.25">
      <c r="B150" t="e">
        <f>VLOOKUP(#REF!,Лист1!$B$1:$J$82,2,0)</f>
        <v>#REF!</v>
      </c>
      <c r="C150" t="e">
        <f>VLOOKUP(A150,Лист1!$B$1:$Q$28,5,0)</f>
        <v>#N/A</v>
      </c>
      <c r="E150" s="25" t="e">
        <f>VLOOKUP(A150,Лист1!$B$1:$Q$28,3,0)</f>
        <v>#N/A</v>
      </c>
      <c r="F150" s="25"/>
      <c r="G150" t="e">
        <f>VLOOKUP(A150,Лист1!$B$1:$Q$28,4,0)</f>
        <v>#N/A</v>
      </c>
      <c r="H150" s="20"/>
      <c r="I150" t="s">
        <v>11</v>
      </c>
      <c r="J150" s="3" t="s">
        <v>79</v>
      </c>
      <c r="K150" t="s">
        <v>61</v>
      </c>
      <c r="L150" t="s">
        <v>7</v>
      </c>
      <c r="M150" t="s">
        <v>7</v>
      </c>
      <c r="N150" t="s">
        <v>9</v>
      </c>
      <c r="O150" t="e">
        <f>#REF!*D150</f>
        <v>#REF!</v>
      </c>
      <c r="P150" s="1" t="e">
        <f t="shared" si="5"/>
        <v>#REF!</v>
      </c>
    </row>
    <row r="151" spans="2:16" ht="75" x14ac:dyDescent="0.25">
      <c r="B151" t="e">
        <f>VLOOKUP(#REF!,Лист1!$B$1:$J$82,2,0)</f>
        <v>#REF!</v>
      </c>
      <c r="C151" t="e">
        <f>VLOOKUP(A151,Лист1!$B$1:$Q$28,5,0)</f>
        <v>#N/A</v>
      </c>
      <c r="E151" s="25" t="e">
        <f>VLOOKUP(A151,Лист1!$B$1:$Q$28,3,0)</f>
        <v>#N/A</v>
      </c>
      <c r="F151" s="25"/>
      <c r="G151" t="e">
        <f>VLOOKUP(A151,Лист1!$B$1:$Q$28,4,0)</f>
        <v>#N/A</v>
      </c>
      <c r="H151" s="20"/>
      <c r="I151" t="s">
        <v>11</v>
      </c>
      <c r="J151" s="3" t="s">
        <v>79</v>
      </c>
      <c r="K151" t="s">
        <v>61</v>
      </c>
      <c r="L151" t="s">
        <v>7</v>
      </c>
      <c r="M151" t="s">
        <v>7</v>
      </c>
      <c r="N151" t="s">
        <v>9</v>
      </c>
      <c r="O151" t="e">
        <f>#REF!*D151</f>
        <v>#REF!</v>
      </c>
      <c r="P151" s="1" t="e">
        <f t="shared" si="5"/>
        <v>#REF!</v>
      </c>
    </row>
    <row r="152" spans="2:16" ht="75" x14ac:dyDescent="0.25">
      <c r="B152" t="e">
        <f>VLOOKUP(#REF!,Лист1!$B$1:$J$82,2,0)</f>
        <v>#REF!</v>
      </c>
      <c r="C152" t="e">
        <f>VLOOKUP(A152,Лист1!$B$1:$Q$28,5,0)</f>
        <v>#N/A</v>
      </c>
      <c r="E152" s="25" t="e">
        <f>VLOOKUP(A152,Лист1!$B$1:$Q$28,3,0)</f>
        <v>#N/A</v>
      </c>
      <c r="F152" s="25"/>
      <c r="G152" t="e">
        <f>VLOOKUP(A152,Лист1!$B$1:$Q$28,4,0)</f>
        <v>#N/A</v>
      </c>
      <c r="H152" s="20"/>
      <c r="I152" t="s">
        <v>11</v>
      </c>
      <c r="J152" s="3" t="s">
        <v>79</v>
      </c>
      <c r="K152" t="s">
        <v>61</v>
      </c>
      <c r="L152" t="s">
        <v>7</v>
      </c>
      <c r="M152" t="s">
        <v>7</v>
      </c>
      <c r="N152" t="s">
        <v>9</v>
      </c>
      <c r="O152" t="e">
        <f>#REF!*D152</f>
        <v>#REF!</v>
      </c>
      <c r="P152" s="1" t="e">
        <f t="shared" si="5"/>
        <v>#REF!</v>
      </c>
    </row>
    <row r="153" spans="2:16" ht="75" x14ac:dyDescent="0.25">
      <c r="B153" t="e">
        <f>VLOOKUP(#REF!,Лист1!$B$1:$J$82,2,0)</f>
        <v>#REF!</v>
      </c>
      <c r="C153" t="e">
        <f>VLOOKUP(A153,Лист1!$B$1:$Q$28,5,0)</f>
        <v>#N/A</v>
      </c>
      <c r="E153" s="25" t="e">
        <f>VLOOKUP(A153,Лист1!$B$1:$Q$28,3,0)</f>
        <v>#N/A</v>
      </c>
      <c r="F153" s="25"/>
      <c r="G153" t="e">
        <f>VLOOKUP(A153,Лист1!$B$1:$Q$28,4,0)</f>
        <v>#N/A</v>
      </c>
      <c r="H153" s="20"/>
      <c r="I153" t="s">
        <v>11</v>
      </c>
      <c r="J153" s="3" t="s">
        <v>79</v>
      </c>
      <c r="K153" t="s">
        <v>61</v>
      </c>
      <c r="L153" t="s">
        <v>7</v>
      </c>
      <c r="M153" t="s">
        <v>7</v>
      </c>
      <c r="N153" t="s">
        <v>9</v>
      </c>
      <c r="O153" t="e">
        <f>#REF!*D153</f>
        <v>#REF!</v>
      </c>
      <c r="P153" s="1" t="e">
        <f t="shared" si="5"/>
        <v>#REF!</v>
      </c>
    </row>
    <row r="154" spans="2:16" ht="75" x14ac:dyDescent="0.25">
      <c r="B154" t="e">
        <f>VLOOKUP(#REF!,Лист1!$B$1:$J$82,2,0)</f>
        <v>#REF!</v>
      </c>
      <c r="C154" t="e">
        <f>VLOOKUP(A154,Лист1!$B$1:$Q$28,5,0)</f>
        <v>#N/A</v>
      </c>
      <c r="E154" s="25" t="e">
        <f>VLOOKUP(A154,Лист1!$B$1:$Q$28,3,0)</f>
        <v>#N/A</v>
      </c>
      <c r="F154" s="25"/>
      <c r="G154" t="e">
        <f>VLOOKUP(A154,Лист1!$B$1:$Q$28,4,0)</f>
        <v>#N/A</v>
      </c>
      <c r="H154" s="20"/>
      <c r="I154" t="s">
        <v>11</v>
      </c>
      <c r="J154" s="3" t="s">
        <v>79</v>
      </c>
      <c r="K154" t="s">
        <v>61</v>
      </c>
      <c r="L154" t="s">
        <v>7</v>
      </c>
      <c r="M154" t="s">
        <v>7</v>
      </c>
      <c r="N154" t="s">
        <v>9</v>
      </c>
      <c r="O154" t="e">
        <f>#REF!*D154</f>
        <v>#REF!</v>
      </c>
      <c r="P154" s="1" t="e">
        <f t="shared" si="5"/>
        <v>#REF!</v>
      </c>
    </row>
    <row r="155" spans="2:16" ht="75" x14ac:dyDescent="0.25">
      <c r="B155" t="e">
        <f>VLOOKUP(#REF!,Лист1!$B$1:$J$82,2,0)</f>
        <v>#REF!</v>
      </c>
      <c r="C155" t="e">
        <f>VLOOKUP(A155,Лист1!$B$1:$Q$28,5,0)</f>
        <v>#N/A</v>
      </c>
      <c r="E155" s="25" t="e">
        <f>VLOOKUP(A155,Лист1!$B$1:$Q$28,3,0)</f>
        <v>#N/A</v>
      </c>
      <c r="F155" s="25"/>
      <c r="G155" t="e">
        <f>VLOOKUP(A155,Лист1!$B$1:$Q$28,4,0)</f>
        <v>#N/A</v>
      </c>
      <c r="H155" s="20"/>
      <c r="I155" t="s">
        <v>11</v>
      </c>
      <c r="J155" s="3" t="s">
        <v>79</v>
      </c>
      <c r="K155" t="s">
        <v>61</v>
      </c>
      <c r="L155" t="s">
        <v>7</v>
      </c>
      <c r="M155" t="s">
        <v>7</v>
      </c>
      <c r="N155" t="s">
        <v>9</v>
      </c>
      <c r="O155" t="e">
        <f>#REF!*D155</f>
        <v>#REF!</v>
      </c>
      <c r="P155" s="1" t="e">
        <f t="shared" si="5"/>
        <v>#REF!</v>
      </c>
    </row>
    <row r="156" spans="2:16" ht="75" x14ac:dyDescent="0.25">
      <c r="B156" t="e">
        <f>VLOOKUP(#REF!,Лист1!$B$1:$J$82,2,0)</f>
        <v>#REF!</v>
      </c>
      <c r="C156" t="e">
        <f>VLOOKUP(A156,Лист1!$B$1:$Q$28,5,0)</f>
        <v>#N/A</v>
      </c>
      <c r="E156" s="25" t="e">
        <f>VLOOKUP(A156,Лист1!$B$1:$Q$28,3,0)</f>
        <v>#N/A</v>
      </c>
      <c r="F156" s="25"/>
      <c r="G156" t="e">
        <f>VLOOKUP(A156,Лист1!$B$1:$Q$28,4,0)</f>
        <v>#N/A</v>
      </c>
      <c r="H156" s="20"/>
      <c r="I156" t="s">
        <v>11</v>
      </c>
      <c r="J156" s="3" t="s">
        <v>79</v>
      </c>
      <c r="K156" t="s">
        <v>61</v>
      </c>
      <c r="L156" t="s">
        <v>7</v>
      </c>
      <c r="M156" t="s">
        <v>7</v>
      </c>
      <c r="N156" t="s">
        <v>9</v>
      </c>
      <c r="O156" t="e">
        <f>#REF!*D156</f>
        <v>#REF!</v>
      </c>
      <c r="P156" s="1" t="e">
        <f t="shared" si="5"/>
        <v>#REF!</v>
      </c>
    </row>
    <row r="157" spans="2:16" ht="75" x14ac:dyDescent="0.25">
      <c r="B157" t="e">
        <f>VLOOKUP(#REF!,Лист1!$B$1:$J$82,2,0)</f>
        <v>#REF!</v>
      </c>
      <c r="C157" t="e">
        <f>VLOOKUP(A157,Лист1!$B$1:$Q$28,5,0)</f>
        <v>#N/A</v>
      </c>
      <c r="E157" s="25" t="e">
        <f>VLOOKUP(A157,Лист1!$B$1:$Q$28,3,0)</f>
        <v>#N/A</v>
      </c>
      <c r="F157" s="25"/>
      <c r="G157" t="e">
        <f>VLOOKUP(A157,Лист1!$B$1:$Q$28,4,0)</f>
        <v>#N/A</v>
      </c>
      <c r="H157" s="20"/>
      <c r="I157" t="s">
        <v>11</v>
      </c>
      <c r="J157" s="3" t="s">
        <v>79</v>
      </c>
      <c r="K157" t="s">
        <v>61</v>
      </c>
      <c r="L157" t="s">
        <v>7</v>
      </c>
      <c r="M157" t="s">
        <v>7</v>
      </c>
      <c r="N157" t="s">
        <v>9</v>
      </c>
      <c r="O157" t="e">
        <f>#REF!*D157</f>
        <v>#REF!</v>
      </c>
      <c r="P157" s="1" t="e">
        <f t="shared" si="5"/>
        <v>#REF!</v>
      </c>
    </row>
    <row r="158" spans="2:16" ht="75" x14ac:dyDescent="0.25">
      <c r="B158" t="e">
        <f>VLOOKUP(#REF!,Лист1!$B$1:$J$82,2,0)</f>
        <v>#REF!</v>
      </c>
      <c r="C158" t="e">
        <f>VLOOKUP(A158,Лист1!$B$1:$Q$28,5,0)</f>
        <v>#N/A</v>
      </c>
      <c r="E158" s="25" t="e">
        <f>VLOOKUP(A158,Лист1!$B$1:$Q$28,3,0)</f>
        <v>#N/A</v>
      </c>
      <c r="F158" s="25"/>
      <c r="G158" t="e">
        <f>VLOOKUP(A158,Лист1!$B$1:$Q$28,4,0)</f>
        <v>#N/A</v>
      </c>
      <c r="H158" s="20"/>
      <c r="I158" t="s">
        <v>11</v>
      </c>
      <c r="J158" s="3" t="s">
        <v>79</v>
      </c>
      <c r="K158" t="s">
        <v>61</v>
      </c>
      <c r="L158" t="s">
        <v>7</v>
      </c>
      <c r="M158" t="s">
        <v>7</v>
      </c>
      <c r="N158" t="s">
        <v>9</v>
      </c>
      <c r="O158" t="e">
        <f>#REF!*D158</f>
        <v>#REF!</v>
      </c>
      <c r="P158" s="1" t="e">
        <f t="shared" si="5"/>
        <v>#REF!</v>
      </c>
    </row>
    <row r="159" spans="2:16" ht="75" x14ac:dyDescent="0.25">
      <c r="B159" t="e">
        <f>VLOOKUP(#REF!,Лист1!$B$1:$J$82,2,0)</f>
        <v>#REF!</v>
      </c>
      <c r="C159" t="e">
        <f>VLOOKUP(A159,Лист1!$B$1:$Q$28,5,0)</f>
        <v>#N/A</v>
      </c>
      <c r="E159" s="25" t="e">
        <f>VLOOKUP(A159,Лист1!$B$1:$Q$28,3,0)</f>
        <v>#N/A</v>
      </c>
      <c r="F159" s="25"/>
      <c r="G159" t="e">
        <f>VLOOKUP(A159,Лист1!$B$1:$Q$28,4,0)</f>
        <v>#N/A</v>
      </c>
      <c r="H159" s="20"/>
      <c r="I159" t="s">
        <v>11</v>
      </c>
      <c r="J159" s="3" t="s">
        <v>79</v>
      </c>
      <c r="K159" t="s">
        <v>61</v>
      </c>
      <c r="L159" t="s">
        <v>7</v>
      </c>
      <c r="M159" t="s">
        <v>7</v>
      </c>
      <c r="N159" t="s">
        <v>9</v>
      </c>
      <c r="O159" t="e">
        <f>#REF!*D159</f>
        <v>#REF!</v>
      </c>
      <c r="P159" s="1" t="e">
        <f t="shared" si="5"/>
        <v>#REF!</v>
      </c>
    </row>
    <row r="160" spans="2:16" ht="75" x14ac:dyDescent="0.25">
      <c r="B160" t="e">
        <f>VLOOKUP(#REF!,Лист1!$B$1:$J$82,2,0)</f>
        <v>#REF!</v>
      </c>
      <c r="C160" t="e">
        <f>VLOOKUP(A160,Лист1!$B$1:$Q$28,5,0)</f>
        <v>#N/A</v>
      </c>
      <c r="E160" s="25" t="e">
        <f>VLOOKUP(A160,Лист1!$B$1:$Q$28,3,0)</f>
        <v>#N/A</v>
      </c>
      <c r="F160" s="25"/>
      <c r="G160" t="e">
        <f>VLOOKUP(A160,Лист1!$B$1:$Q$28,4,0)</f>
        <v>#N/A</v>
      </c>
      <c r="H160" s="20"/>
      <c r="I160" t="s">
        <v>11</v>
      </c>
      <c r="J160" s="3" t="s">
        <v>79</v>
      </c>
      <c r="K160" t="s">
        <v>61</v>
      </c>
      <c r="L160" t="s">
        <v>7</v>
      </c>
      <c r="M160" t="s">
        <v>7</v>
      </c>
      <c r="N160" t="s">
        <v>9</v>
      </c>
      <c r="O160" t="e">
        <f>#REF!*D160</f>
        <v>#REF!</v>
      </c>
      <c r="P160" s="1" t="e">
        <f t="shared" ref="P160:P179" si="6">O160+O160*0.094</f>
        <v>#REF!</v>
      </c>
    </row>
    <row r="161" spans="2:16" ht="75" x14ac:dyDescent="0.25">
      <c r="B161" t="e">
        <f>VLOOKUP(#REF!,Лист1!$B$1:$J$82,2,0)</f>
        <v>#REF!</v>
      </c>
      <c r="C161" t="e">
        <f>VLOOKUP(A161,Лист1!$B$1:$Q$28,5,0)</f>
        <v>#N/A</v>
      </c>
      <c r="E161" s="25" t="e">
        <f>VLOOKUP(A161,Лист1!$B$1:$Q$28,3,0)</f>
        <v>#N/A</v>
      </c>
      <c r="F161" s="25"/>
      <c r="G161" t="e">
        <f>VLOOKUP(A161,Лист1!$B$1:$Q$28,4,0)</f>
        <v>#N/A</v>
      </c>
      <c r="H161" s="20"/>
      <c r="I161" t="s">
        <v>11</v>
      </c>
      <c r="J161" s="3" t="s">
        <v>79</v>
      </c>
      <c r="K161" t="s">
        <v>61</v>
      </c>
      <c r="L161" t="s">
        <v>7</v>
      </c>
      <c r="M161" t="s">
        <v>7</v>
      </c>
      <c r="N161" t="s">
        <v>9</v>
      </c>
      <c r="O161" t="e">
        <f>#REF!*D161</f>
        <v>#REF!</v>
      </c>
      <c r="P161" s="1" t="e">
        <f t="shared" si="6"/>
        <v>#REF!</v>
      </c>
    </row>
    <row r="162" spans="2:16" ht="75" x14ac:dyDescent="0.25">
      <c r="B162" t="e">
        <f>VLOOKUP(#REF!,Лист1!$B$1:$J$82,2,0)</f>
        <v>#REF!</v>
      </c>
      <c r="C162" t="e">
        <f>VLOOKUP(A162,Лист1!$B$1:$Q$28,5,0)</f>
        <v>#N/A</v>
      </c>
      <c r="E162" s="25" t="e">
        <f>VLOOKUP(A162,Лист1!$B$1:$Q$28,3,0)</f>
        <v>#N/A</v>
      </c>
      <c r="F162" s="25"/>
      <c r="G162" t="e">
        <f>VLOOKUP(A162,Лист1!$B$1:$Q$28,4,0)</f>
        <v>#N/A</v>
      </c>
      <c r="H162" s="20"/>
      <c r="I162" t="s">
        <v>11</v>
      </c>
      <c r="J162" s="3" t="s">
        <v>79</v>
      </c>
      <c r="K162" t="s">
        <v>61</v>
      </c>
      <c r="L162" t="s">
        <v>7</v>
      </c>
      <c r="M162" t="s">
        <v>7</v>
      </c>
      <c r="N162" t="s">
        <v>9</v>
      </c>
      <c r="O162" t="e">
        <f>#REF!*D162</f>
        <v>#REF!</v>
      </c>
      <c r="P162" s="1" t="e">
        <f t="shared" si="6"/>
        <v>#REF!</v>
      </c>
    </row>
    <row r="163" spans="2:16" ht="75" x14ac:dyDescent="0.25">
      <c r="B163" t="e">
        <f>VLOOKUP(#REF!,Лист1!$B$1:$J$82,2,0)</f>
        <v>#REF!</v>
      </c>
      <c r="C163" t="e">
        <f>VLOOKUP(A163,Лист1!$B$1:$Q$28,5,0)</f>
        <v>#N/A</v>
      </c>
      <c r="E163" s="25" t="e">
        <f>VLOOKUP(A163,Лист1!$B$1:$Q$28,3,0)</f>
        <v>#N/A</v>
      </c>
      <c r="F163" s="25"/>
      <c r="G163" t="e">
        <f>VLOOKUP(A163,Лист1!$B$1:$Q$28,4,0)</f>
        <v>#N/A</v>
      </c>
      <c r="H163" s="20"/>
      <c r="I163" t="s">
        <v>11</v>
      </c>
      <c r="J163" s="3" t="s">
        <v>79</v>
      </c>
      <c r="K163" t="s">
        <v>61</v>
      </c>
      <c r="L163" t="s">
        <v>7</v>
      </c>
      <c r="M163" t="s">
        <v>7</v>
      </c>
      <c r="N163" t="s">
        <v>9</v>
      </c>
      <c r="O163" t="e">
        <f>#REF!*D163</f>
        <v>#REF!</v>
      </c>
      <c r="P163" s="1" t="e">
        <f t="shared" si="6"/>
        <v>#REF!</v>
      </c>
    </row>
    <row r="164" spans="2:16" ht="75" x14ac:dyDescent="0.25">
      <c r="B164" t="e">
        <f>VLOOKUP(#REF!,Лист1!$B$1:$J$82,2,0)</f>
        <v>#REF!</v>
      </c>
      <c r="C164" t="e">
        <f>VLOOKUP(A164,Лист1!$B$1:$Q$28,5,0)</f>
        <v>#N/A</v>
      </c>
      <c r="E164" s="25" t="e">
        <f>VLOOKUP(A164,Лист1!$B$1:$Q$28,3,0)</f>
        <v>#N/A</v>
      </c>
      <c r="F164" s="25"/>
      <c r="G164" t="e">
        <f>VLOOKUP(A164,Лист1!$B$1:$Q$28,4,0)</f>
        <v>#N/A</v>
      </c>
      <c r="H164" s="20"/>
      <c r="I164" t="s">
        <v>11</v>
      </c>
      <c r="J164" s="3" t="s">
        <v>79</v>
      </c>
      <c r="K164" t="s">
        <v>61</v>
      </c>
      <c r="L164" t="s">
        <v>7</v>
      </c>
      <c r="M164" t="s">
        <v>7</v>
      </c>
      <c r="N164" t="s">
        <v>9</v>
      </c>
      <c r="O164" t="e">
        <f>#REF!*D164</f>
        <v>#REF!</v>
      </c>
      <c r="P164" s="1" t="e">
        <f t="shared" si="6"/>
        <v>#REF!</v>
      </c>
    </row>
    <row r="165" spans="2:16" ht="75" x14ac:dyDescent="0.25">
      <c r="B165" t="e">
        <f>VLOOKUP(#REF!,Лист1!$B$1:$J$82,2,0)</f>
        <v>#REF!</v>
      </c>
      <c r="C165" t="e">
        <f>VLOOKUP(A165,Лист1!$B$1:$Q$28,5,0)</f>
        <v>#N/A</v>
      </c>
      <c r="E165" s="25" t="e">
        <f>VLOOKUP(A165,Лист1!$B$1:$Q$28,3,0)</f>
        <v>#N/A</v>
      </c>
      <c r="F165" s="25"/>
      <c r="G165" t="e">
        <f>VLOOKUP(A165,Лист1!$B$1:$Q$28,4,0)</f>
        <v>#N/A</v>
      </c>
      <c r="H165" s="20"/>
      <c r="I165" t="s">
        <v>11</v>
      </c>
      <c r="J165" s="3" t="s">
        <v>79</v>
      </c>
      <c r="K165" t="s">
        <v>61</v>
      </c>
      <c r="L165" t="s">
        <v>7</v>
      </c>
      <c r="M165" t="s">
        <v>7</v>
      </c>
      <c r="N165" t="s">
        <v>9</v>
      </c>
      <c r="O165" t="e">
        <f>#REF!*D165</f>
        <v>#REF!</v>
      </c>
      <c r="P165" s="1" t="e">
        <f t="shared" si="6"/>
        <v>#REF!</v>
      </c>
    </row>
    <row r="166" spans="2:16" ht="75" x14ac:dyDescent="0.25">
      <c r="B166" t="e">
        <f>VLOOKUP(#REF!,Лист1!$B$1:$J$82,2,0)</f>
        <v>#REF!</v>
      </c>
      <c r="C166" t="e">
        <f>VLOOKUP(A166,Лист1!$B$1:$Q$28,5,0)</f>
        <v>#N/A</v>
      </c>
      <c r="E166" s="25" t="e">
        <f>VLOOKUP(A166,Лист1!$B$1:$Q$28,3,0)</f>
        <v>#N/A</v>
      </c>
      <c r="F166" s="25"/>
      <c r="G166" t="e">
        <f>VLOOKUP(A166,Лист1!$B$1:$Q$28,4,0)</f>
        <v>#N/A</v>
      </c>
      <c r="H166" s="20"/>
      <c r="I166" t="s">
        <v>11</v>
      </c>
      <c r="J166" s="3" t="s">
        <v>79</v>
      </c>
      <c r="K166" t="s">
        <v>61</v>
      </c>
      <c r="L166" t="s">
        <v>7</v>
      </c>
      <c r="M166" t="s">
        <v>7</v>
      </c>
      <c r="N166" t="s">
        <v>9</v>
      </c>
      <c r="O166" t="e">
        <f>#REF!*D166</f>
        <v>#REF!</v>
      </c>
      <c r="P166" s="1" t="e">
        <f t="shared" si="6"/>
        <v>#REF!</v>
      </c>
    </row>
    <row r="167" spans="2:16" ht="75" x14ac:dyDescent="0.25">
      <c r="B167" t="e">
        <f>VLOOKUP(#REF!,Лист1!$B$1:$J$82,2,0)</f>
        <v>#REF!</v>
      </c>
      <c r="C167" t="e">
        <f>VLOOKUP(A167,Лист1!$B$1:$Q$28,5,0)</f>
        <v>#N/A</v>
      </c>
      <c r="E167" s="25" t="e">
        <f>VLOOKUP(A167,Лист1!$B$1:$Q$28,3,0)</f>
        <v>#N/A</v>
      </c>
      <c r="F167" s="25"/>
      <c r="G167" t="e">
        <f>VLOOKUP(A167,Лист1!$B$1:$Q$28,4,0)</f>
        <v>#N/A</v>
      </c>
      <c r="H167" s="20"/>
      <c r="I167" t="s">
        <v>11</v>
      </c>
      <c r="J167" s="3" t="s">
        <v>79</v>
      </c>
      <c r="K167" t="s">
        <v>61</v>
      </c>
      <c r="L167" t="s">
        <v>7</v>
      </c>
      <c r="M167" t="s">
        <v>7</v>
      </c>
      <c r="N167" t="s">
        <v>9</v>
      </c>
      <c r="O167" t="e">
        <f>#REF!*D167</f>
        <v>#REF!</v>
      </c>
      <c r="P167" s="1" t="e">
        <f t="shared" si="6"/>
        <v>#REF!</v>
      </c>
    </row>
    <row r="168" spans="2:16" ht="75" x14ac:dyDescent="0.25">
      <c r="B168" t="e">
        <f>VLOOKUP(#REF!,Лист1!$B$1:$J$82,2,0)</f>
        <v>#REF!</v>
      </c>
      <c r="C168" t="e">
        <f>VLOOKUP(A168,Лист1!$B$1:$Q$28,5,0)</f>
        <v>#N/A</v>
      </c>
      <c r="E168" s="25" t="e">
        <f>VLOOKUP(A168,Лист1!$B$1:$Q$28,3,0)</f>
        <v>#N/A</v>
      </c>
      <c r="F168" s="25"/>
      <c r="G168" t="e">
        <f>VLOOKUP(A168,Лист1!$B$1:$Q$28,4,0)</f>
        <v>#N/A</v>
      </c>
      <c r="H168" s="20"/>
      <c r="I168" t="s">
        <v>11</v>
      </c>
      <c r="J168" s="3" t="s">
        <v>79</v>
      </c>
      <c r="K168" t="s">
        <v>61</v>
      </c>
      <c r="L168" t="s">
        <v>7</v>
      </c>
      <c r="M168" t="s">
        <v>7</v>
      </c>
      <c r="N168" t="s">
        <v>9</v>
      </c>
      <c r="O168" t="e">
        <f>#REF!*D168</f>
        <v>#REF!</v>
      </c>
      <c r="P168" s="1" t="e">
        <f t="shared" si="6"/>
        <v>#REF!</v>
      </c>
    </row>
    <row r="169" spans="2:16" ht="75" x14ac:dyDescent="0.25">
      <c r="B169" t="e">
        <f>VLOOKUP(#REF!,Лист1!$B$1:$J$82,2,0)</f>
        <v>#REF!</v>
      </c>
      <c r="C169" t="e">
        <f>VLOOKUP(A169,Лист1!$B$1:$Q$28,5,0)</f>
        <v>#N/A</v>
      </c>
      <c r="E169" s="25" t="e">
        <f>VLOOKUP(A169,Лист1!$B$1:$Q$28,3,0)</f>
        <v>#N/A</v>
      </c>
      <c r="F169" s="25"/>
      <c r="G169" t="e">
        <f>VLOOKUP(A169,Лист1!$B$1:$Q$28,4,0)</f>
        <v>#N/A</v>
      </c>
      <c r="H169" s="20"/>
      <c r="I169" t="s">
        <v>11</v>
      </c>
      <c r="J169" s="3" t="s">
        <v>79</v>
      </c>
      <c r="K169" t="s">
        <v>61</v>
      </c>
      <c r="L169" t="s">
        <v>7</v>
      </c>
      <c r="M169" t="s">
        <v>7</v>
      </c>
      <c r="N169" t="s">
        <v>9</v>
      </c>
      <c r="O169" t="e">
        <f>#REF!*D169</f>
        <v>#REF!</v>
      </c>
      <c r="P169" s="1" t="e">
        <f t="shared" si="6"/>
        <v>#REF!</v>
      </c>
    </row>
    <row r="170" spans="2:16" ht="75" x14ac:dyDescent="0.25">
      <c r="B170" t="e">
        <f>VLOOKUP(#REF!,Лист1!$B$1:$J$82,2,0)</f>
        <v>#REF!</v>
      </c>
      <c r="C170" t="e">
        <f>VLOOKUP(A170,Лист1!$B$1:$Q$28,5,0)</f>
        <v>#N/A</v>
      </c>
      <c r="E170" s="25" t="e">
        <f>VLOOKUP(A170,Лист1!$B$1:$Q$28,3,0)</f>
        <v>#N/A</v>
      </c>
      <c r="F170" s="25"/>
      <c r="G170" t="e">
        <f>VLOOKUP(A170,Лист1!$B$1:$Q$28,4,0)</f>
        <v>#N/A</v>
      </c>
      <c r="H170" s="20"/>
      <c r="I170" t="s">
        <v>11</v>
      </c>
      <c r="J170" s="3" t="s">
        <v>79</v>
      </c>
      <c r="K170" t="s">
        <v>61</v>
      </c>
      <c r="L170" t="s">
        <v>7</v>
      </c>
      <c r="M170" t="s">
        <v>7</v>
      </c>
      <c r="N170" t="s">
        <v>9</v>
      </c>
      <c r="O170" t="e">
        <f>#REF!*D170</f>
        <v>#REF!</v>
      </c>
      <c r="P170" s="1" t="e">
        <f t="shared" si="6"/>
        <v>#REF!</v>
      </c>
    </row>
    <row r="171" spans="2:16" ht="75" x14ac:dyDescent="0.25">
      <c r="B171" t="e">
        <f>VLOOKUP(#REF!,Лист1!$B$1:$J$82,2,0)</f>
        <v>#REF!</v>
      </c>
      <c r="C171" t="e">
        <f>VLOOKUP(A171,Лист1!$B$1:$Q$28,5,0)</f>
        <v>#N/A</v>
      </c>
      <c r="E171" s="25" t="e">
        <f>VLOOKUP(A171,Лист1!$B$1:$Q$28,3,0)</f>
        <v>#N/A</v>
      </c>
      <c r="F171" s="25"/>
      <c r="G171" t="e">
        <f>VLOOKUP(A171,Лист1!$B$1:$Q$28,4,0)</f>
        <v>#N/A</v>
      </c>
      <c r="H171" s="20"/>
      <c r="I171" t="s">
        <v>11</v>
      </c>
      <c r="J171" s="3" t="s">
        <v>79</v>
      </c>
      <c r="K171" t="s">
        <v>61</v>
      </c>
      <c r="L171" t="s">
        <v>7</v>
      </c>
      <c r="M171" t="s">
        <v>7</v>
      </c>
      <c r="N171" t="s">
        <v>9</v>
      </c>
      <c r="O171" t="e">
        <f>#REF!*D171</f>
        <v>#REF!</v>
      </c>
      <c r="P171" s="1" t="e">
        <f t="shared" si="6"/>
        <v>#REF!</v>
      </c>
    </row>
    <row r="172" spans="2:16" ht="75" x14ac:dyDescent="0.25">
      <c r="B172" t="e">
        <f>VLOOKUP(#REF!,Лист1!$B$1:$J$82,2,0)</f>
        <v>#REF!</v>
      </c>
      <c r="C172" t="e">
        <f>VLOOKUP(A172,Лист1!$B$1:$Q$28,5,0)</f>
        <v>#N/A</v>
      </c>
      <c r="E172" s="25" t="e">
        <f>VLOOKUP(A172,Лист1!$B$1:$Q$28,3,0)</f>
        <v>#N/A</v>
      </c>
      <c r="F172" s="25"/>
      <c r="G172" t="e">
        <f>VLOOKUP(A172,Лист1!$B$1:$Q$28,4,0)</f>
        <v>#N/A</v>
      </c>
      <c r="H172" s="20"/>
      <c r="I172" t="s">
        <v>11</v>
      </c>
      <c r="J172" s="3" t="s">
        <v>79</v>
      </c>
      <c r="K172" t="s">
        <v>61</v>
      </c>
      <c r="L172" t="s">
        <v>7</v>
      </c>
      <c r="M172" t="s">
        <v>7</v>
      </c>
      <c r="N172" t="s">
        <v>9</v>
      </c>
      <c r="O172" t="e">
        <f>#REF!*D172</f>
        <v>#REF!</v>
      </c>
      <c r="P172" s="1" t="e">
        <f t="shared" si="6"/>
        <v>#REF!</v>
      </c>
    </row>
    <row r="173" spans="2:16" ht="75" x14ac:dyDescent="0.25">
      <c r="B173" t="e">
        <f>VLOOKUP(#REF!,Лист1!$B$1:$J$82,2,0)</f>
        <v>#REF!</v>
      </c>
      <c r="C173" t="e">
        <f>VLOOKUP(A173,Лист1!$B$1:$Q$28,5,0)</f>
        <v>#N/A</v>
      </c>
      <c r="E173" s="25" t="e">
        <f>VLOOKUP(A173,Лист1!$B$1:$Q$28,3,0)</f>
        <v>#N/A</v>
      </c>
      <c r="F173" s="25"/>
      <c r="G173" t="e">
        <f>VLOOKUP(A173,Лист1!$B$1:$Q$28,4,0)</f>
        <v>#N/A</v>
      </c>
      <c r="H173" s="20"/>
      <c r="I173" t="s">
        <v>11</v>
      </c>
      <c r="J173" s="3" t="s">
        <v>79</v>
      </c>
      <c r="K173" t="s">
        <v>61</v>
      </c>
      <c r="L173" t="s">
        <v>7</v>
      </c>
      <c r="M173" t="s">
        <v>7</v>
      </c>
      <c r="N173" t="s">
        <v>9</v>
      </c>
      <c r="O173" t="e">
        <f>#REF!*D173</f>
        <v>#REF!</v>
      </c>
      <c r="P173" s="1" t="e">
        <f t="shared" si="6"/>
        <v>#REF!</v>
      </c>
    </row>
    <row r="174" spans="2:16" ht="75" x14ac:dyDescent="0.25">
      <c r="B174" t="e">
        <f>VLOOKUP(#REF!,Лист1!$B$1:$J$82,2,0)</f>
        <v>#REF!</v>
      </c>
      <c r="C174" t="e">
        <f>VLOOKUP(A174,Лист1!$B$1:$Q$28,5,0)</f>
        <v>#N/A</v>
      </c>
      <c r="E174" s="25" t="e">
        <f>VLOOKUP(A174,Лист1!$B$1:$Q$28,3,0)</f>
        <v>#N/A</v>
      </c>
      <c r="F174" s="25"/>
      <c r="G174" t="e">
        <f>VLOOKUP(A174,Лист1!$B$1:$Q$28,4,0)</f>
        <v>#N/A</v>
      </c>
      <c r="H174" s="20"/>
      <c r="I174" t="s">
        <v>11</v>
      </c>
      <c r="J174" s="3" t="s">
        <v>79</v>
      </c>
      <c r="K174" t="s">
        <v>61</v>
      </c>
      <c r="L174" t="s">
        <v>7</v>
      </c>
      <c r="M174" t="s">
        <v>7</v>
      </c>
      <c r="N174" t="s">
        <v>9</v>
      </c>
      <c r="O174" t="e">
        <f>#REF!*D174</f>
        <v>#REF!</v>
      </c>
      <c r="P174" s="1" t="e">
        <f t="shared" si="6"/>
        <v>#REF!</v>
      </c>
    </row>
    <row r="175" spans="2:16" ht="75" x14ac:dyDescent="0.25">
      <c r="B175" t="e">
        <f>VLOOKUP(#REF!,Лист1!$B$1:$J$82,2,0)</f>
        <v>#REF!</v>
      </c>
      <c r="C175" t="e">
        <f>VLOOKUP(A175,Лист1!$B$1:$Q$28,5,0)</f>
        <v>#N/A</v>
      </c>
      <c r="E175" s="25" t="e">
        <f>VLOOKUP(A175,Лист1!$B$1:$Q$28,3,0)</f>
        <v>#N/A</v>
      </c>
      <c r="F175" s="25"/>
      <c r="G175" t="e">
        <f>VLOOKUP(A175,Лист1!$B$1:$Q$28,4,0)</f>
        <v>#N/A</v>
      </c>
      <c r="H175" s="20"/>
      <c r="I175" t="s">
        <v>11</v>
      </c>
      <c r="J175" s="3" t="s">
        <v>79</v>
      </c>
      <c r="K175" t="s">
        <v>61</v>
      </c>
      <c r="L175" t="s">
        <v>7</v>
      </c>
      <c r="M175" t="s">
        <v>7</v>
      </c>
      <c r="N175" t="s">
        <v>9</v>
      </c>
      <c r="O175" t="e">
        <f>#REF!*D175</f>
        <v>#REF!</v>
      </c>
      <c r="P175" s="1" t="e">
        <f t="shared" si="6"/>
        <v>#REF!</v>
      </c>
    </row>
    <row r="176" spans="2:16" ht="75" x14ac:dyDescent="0.25">
      <c r="B176" t="e">
        <f>VLOOKUP(#REF!,Лист1!$B$1:$J$82,2,0)</f>
        <v>#REF!</v>
      </c>
      <c r="C176" t="e">
        <f>VLOOKUP(A176,Лист1!$B$1:$Q$28,5,0)</f>
        <v>#N/A</v>
      </c>
      <c r="E176" s="25" t="e">
        <f>VLOOKUP(A176,Лист1!$B$1:$Q$28,3,0)</f>
        <v>#N/A</v>
      </c>
      <c r="F176" s="25"/>
      <c r="G176" t="e">
        <f>VLOOKUP(A176,Лист1!$B$1:$Q$28,4,0)</f>
        <v>#N/A</v>
      </c>
      <c r="H176" s="20"/>
      <c r="I176" t="s">
        <v>11</v>
      </c>
      <c r="J176" s="3" t="s">
        <v>79</v>
      </c>
      <c r="L176" t="s">
        <v>7</v>
      </c>
      <c r="M176" t="s">
        <v>7</v>
      </c>
      <c r="N176" t="s">
        <v>9</v>
      </c>
      <c r="O176" t="e">
        <f>#REF!*D176</f>
        <v>#REF!</v>
      </c>
      <c r="P176" s="1" t="e">
        <f t="shared" si="6"/>
        <v>#REF!</v>
      </c>
    </row>
    <row r="177" spans="2:16" ht="75" x14ac:dyDescent="0.25">
      <c r="B177" t="e">
        <f>VLOOKUP(#REF!,Лист1!$B$1:$J$82,2,0)</f>
        <v>#REF!</v>
      </c>
      <c r="C177" t="e">
        <f>VLOOKUP(A177,Лист1!$B$1:$Q$28,5,0)</f>
        <v>#N/A</v>
      </c>
      <c r="E177" s="25" t="e">
        <f>VLOOKUP(A177,Лист1!$B$1:$Q$28,3,0)</f>
        <v>#N/A</v>
      </c>
      <c r="F177" s="25"/>
      <c r="G177" t="e">
        <f>VLOOKUP(A177,Лист1!$B$1:$Q$28,4,0)</f>
        <v>#N/A</v>
      </c>
      <c r="H177" s="20"/>
      <c r="I177" t="s">
        <v>11</v>
      </c>
      <c r="J177" s="3" t="s">
        <v>79</v>
      </c>
      <c r="L177" t="s">
        <v>7</v>
      </c>
      <c r="M177" t="s">
        <v>7</v>
      </c>
      <c r="N177" t="s">
        <v>9</v>
      </c>
      <c r="O177" t="e">
        <f>#REF!*D177</f>
        <v>#REF!</v>
      </c>
      <c r="P177" s="1" t="e">
        <f t="shared" si="6"/>
        <v>#REF!</v>
      </c>
    </row>
    <row r="178" spans="2:16" ht="75" x14ac:dyDescent="0.25">
      <c r="B178" t="e">
        <f>VLOOKUP(#REF!,Лист1!$B$1:$J$82,2,0)</f>
        <v>#REF!</v>
      </c>
      <c r="C178" t="e">
        <f>VLOOKUP(A178,Лист1!$B$1:$Q$28,5,0)</f>
        <v>#N/A</v>
      </c>
      <c r="E178" s="25" t="e">
        <f>VLOOKUP(A178,Лист1!$B$1:$Q$28,3,0)</f>
        <v>#N/A</v>
      </c>
      <c r="F178" s="25"/>
      <c r="G178" t="e">
        <f>VLOOKUP(A178,Лист1!$B$1:$Q$28,4,0)</f>
        <v>#N/A</v>
      </c>
      <c r="H178" s="20"/>
      <c r="I178" t="s">
        <v>11</v>
      </c>
      <c r="J178" s="3" t="s">
        <v>79</v>
      </c>
      <c r="L178" t="s">
        <v>7</v>
      </c>
      <c r="M178" t="s">
        <v>7</v>
      </c>
      <c r="N178" t="s">
        <v>9</v>
      </c>
      <c r="O178" t="e">
        <f>#REF!*D178</f>
        <v>#REF!</v>
      </c>
      <c r="P178" s="1" t="e">
        <f t="shared" si="6"/>
        <v>#REF!</v>
      </c>
    </row>
    <row r="179" spans="2:16" ht="75" x14ac:dyDescent="0.25">
      <c r="B179" t="e">
        <f>VLOOKUP(#REF!,Лист1!$B$1:$J$82,2,0)</f>
        <v>#REF!</v>
      </c>
      <c r="C179" t="e">
        <f>VLOOKUP(A179,Лист1!$B$1:$Q$28,5,0)</f>
        <v>#N/A</v>
      </c>
      <c r="E179" s="25" t="e">
        <f>VLOOKUP(A179,Лист1!$B$1:$Q$28,3,0)</f>
        <v>#N/A</v>
      </c>
      <c r="F179" s="25"/>
      <c r="G179" t="e">
        <f>VLOOKUP(A179,Лист1!$B$1:$Q$28,4,0)</f>
        <v>#N/A</v>
      </c>
      <c r="H179" s="20"/>
      <c r="I179" t="s">
        <v>11</v>
      </c>
      <c r="J179" s="3" t="s">
        <v>79</v>
      </c>
      <c r="L179" t="s">
        <v>7</v>
      </c>
      <c r="M179" t="s">
        <v>7</v>
      </c>
      <c r="N179" t="s">
        <v>9</v>
      </c>
      <c r="O179" t="e">
        <f>#REF!*D179</f>
        <v>#REF!</v>
      </c>
      <c r="P179" s="1" t="e">
        <f t="shared" si="6"/>
        <v>#REF!</v>
      </c>
    </row>
    <row r="180" spans="2:16" ht="75" x14ac:dyDescent="0.25">
      <c r="B180" t="e">
        <f>VLOOKUP(#REF!,Лист1!$B$1:$J$82,2,0)</f>
        <v>#REF!</v>
      </c>
      <c r="C180" t="e">
        <f>VLOOKUP(A180,Лист1!$B$1:$Q$28,5,0)</f>
        <v>#N/A</v>
      </c>
      <c r="E180" s="25" t="e">
        <f>VLOOKUP(A180,Лист1!$B$1:$Q$28,3,0)</f>
        <v>#N/A</v>
      </c>
      <c r="F180" s="25"/>
      <c r="G180" t="e">
        <f>VLOOKUP(A180,Лист1!$B$1:$Q$28,4,0)</f>
        <v>#N/A</v>
      </c>
      <c r="H180" s="20"/>
      <c r="I180" t="s">
        <v>11</v>
      </c>
      <c r="J180" s="3" t="s">
        <v>79</v>
      </c>
      <c r="L180" t="s">
        <v>7</v>
      </c>
      <c r="M180" t="s">
        <v>7</v>
      </c>
      <c r="N180" t="s">
        <v>9</v>
      </c>
      <c r="O180" t="e">
        <f>#REF!*D180</f>
        <v>#REF!</v>
      </c>
    </row>
    <row r="181" spans="2:16" ht="75" x14ac:dyDescent="0.25">
      <c r="B181" t="e">
        <f>VLOOKUP(#REF!,Лист1!$B$1:$J$82,2,0)</f>
        <v>#REF!</v>
      </c>
      <c r="C181" t="e">
        <f>VLOOKUP(A181,Лист1!$B$1:$Q$28,5,0)</f>
        <v>#N/A</v>
      </c>
      <c r="E181" s="25" t="e">
        <f>VLOOKUP(A181,Лист1!$B$1:$Q$28,3,0)</f>
        <v>#N/A</v>
      </c>
      <c r="F181" s="25"/>
      <c r="G181" t="e">
        <f>VLOOKUP(A181,Лист1!$B$1:$Q$28,4,0)</f>
        <v>#N/A</v>
      </c>
      <c r="H181" s="20"/>
      <c r="I181" t="s">
        <v>11</v>
      </c>
      <c r="J181" s="3" t="s">
        <v>79</v>
      </c>
      <c r="L181" t="s">
        <v>7</v>
      </c>
      <c r="M181" t="s">
        <v>7</v>
      </c>
      <c r="N181" t="s">
        <v>9</v>
      </c>
      <c r="O181" t="e">
        <f>#REF!*D181</f>
        <v>#REF!</v>
      </c>
    </row>
    <row r="182" spans="2:16" ht="75" x14ac:dyDescent="0.25">
      <c r="B182" t="e">
        <f>VLOOKUP(#REF!,Лист1!$B$1:$J$82,2,0)</f>
        <v>#REF!</v>
      </c>
      <c r="C182" t="e">
        <f>VLOOKUP(A182,Лист1!$B$1:$Q$28,5,0)</f>
        <v>#N/A</v>
      </c>
      <c r="E182" s="25" t="e">
        <f>VLOOKUP(A182,Лист1!$B$1:$Q$28,3,0)</f>
        <v>#N/A</v>
      </c>
      <c r="F182" s="25"/>
      <c r="G182" t="e">
        <f>VLOOKUP(A182,Лист1!$B$1:$Q$28,4,0)</f>
        <v>#N/A</v>
      </c>
      <c r="H182" s="20"/>
      <c r="I182" t="s">
        <v>11</v>
      </c>
      <c r="J182" s="3" t="s">
        <v>79</v>
      </c>
      <c r="L182" t="s">
        <v>7</v>
      </c>
      <c r="M182" t="s">
        <v>7</v>
      </c>
      <c r="N182" t="s">
        <v>9</v>
      </c>
      <c r="O182" t="e">
        <f>#REF!*D182</f>
        <v>#REF!</v>
      </c>
    </row>
    <row r="183" spans="2:16" ht="75" x14ac:dyDescent="0.25">
      <c r="B183" t="e">
        <f>VLOOKUP(#REF!,Лист1!$B$1:$J$82,2,0)</f>
        <v>#REF!</v>
      </c>
      <c r="C183" t="e">
        <f>VLOOKUP(A183,Лист1!$B$1:$Q$28,5,0)</f>
        <v>#N/A</v>
      </c>
      <c r="E183" s="25" t="e">
        <f>VLOOKUP(A183,Лист1!$B$1:$Q$28,3,0)</f>
        <v>#N/A</v>
      </c>
      <c r="F183" s="25"/>
      <c r="G183" t="e">
        <f>VLOOKUP(A183,Лист1!$B$1:$Q$28,4,0)</f>
        <v>#N/A</v>
      </c>
      <c r="H183" s="20"/>
      <c r="I183" t="s">
        <v>11</v>
      </c>
      <c r="J183" s="3" t="s">
        <v>79</v>
      </c>
      <c r="L183" t="s">
        <v>7</v>
      </c>
      <c r="M183" t="s">
        <v>7</v>
      </c>
      <c r="N183" t="s">
        <v>9</v>
      </c>
      <c r="O183" t="e">
        <f>#REF!*D183</f>
        <v>#REF!</v>
      </c>
    </row>
    <row r="184" spans="2:16" ht="75" x14ac:dyDescent="0.25">
      <c r="B184" t="e">
        <f>VLOOKUP(#REF!,Лист1!$B$1:$J$82,2,0)</f>
        <v>#REF!</v>
      </c>
      <c r="C184" t="e">
        <f>VLOOKUP(A184,Лист1!$B$1:$Q$28,5,0)</f>
        <v>#N/A</v>
      </c>
      <c r="E184" s="25" t="e">
        <f>VLOOKUP(A184,Лист1!$B$1:$Q$28,3,0)</f>
        <v>#N/A</v>
      </c>
      <c r="F184" s="25"/>
      <c r="G184" t="e">
        <f>VLOOKUP(A184,Лист1!$B$1:$Q$28,4,0)</f>
        <v>#N/A</v>
      </c>
      <c r="H184" s="20"/>
      <c r="I184" t="s">
        <v>11</v>
      </c>
      <c r="J184" s="3" t="s">
        <v>79</v>
      </c>
      <c r="L184" t="s">
        <v>7</v>
      </c>
      <c r="M184" t="s">
        <v>7</v>
      </c>
      <c r="N184" t="s">
        <v>9</v>
      </c>
      <c r="O184" t="e">
        <f>#REF!*D184</f>
        <v>#REF!</v>
      </c>
    </row>
    <row r="185" spans="2:16" ht="75" x14ac:dyDescent="0.25">
      <c r="B185" t="e">
        <f>VLOOKUP(#REF!,Лист1!$B$1:$J$82,2,0)</f>
        <v>#REF!</v>
      </c>
      <c r="C185" t="e">
        <f>VLOOKUP(A185,Лист1!$B$1:$Q$28,5,0)</f>
        <v>#N/A</v>
      </c>
      <c r="E185" s="25" t="e">
        <f>VLOOKUP(A185,Лист1!$B$1:$Q$28,3,0)</f>
        <v>#N/A</v>
      </c>
      <c r="F185" s="25"/>
      <c r="G185" t="e">
        <f>VLOOKUP(A185,Лист1!$B$1:$Q$28,4,0)</f>
        <v>#N/A</v>
      </c>
      <c r="H185" s="20"/>
      <c r="I185" t="s">
        <v>11</v>
      </c>
      <c r="J185" s="3" t="s">
        <v>79</v>
      </c>
      <c r="L185" t="s">
        <v>7</v>
      </c>
      <c r="M185" t="s">
        <v>7</v>
      </c>
      <c r="N185" t="s">
        <v>9</v>
      </c>
      <c r="O185" t="e">
        <f>#REF!*D185</f>
        <v>#REF!</v>
      </c>
    </row>
    <row r="186" spans="2:16" ht="75" x14ac:dyDescent="0.25">
      <c r="B186" t="e">
        <f>VLOOKUP(#REF!,Лист1!$B$1:$J$82,2,0)</f>
        <v>#REF!</v>
      </c>
      <c r="C186" t="e">
        <f>VLOOKUP(A186,Лист1!$B$1:$Q$28,5,0)</f>
        <v>#N/A</v>
      </c>
      <c r="E186" s="25" t="e">
        <f>VLOOKUP(A186,Лист1!$B$1:$Q$28,3,0)</f>
        <v>#N/A</v>
      </c>
      <c r="F186" s="25"/>
      <c r="G186" t="e">
        <f>VLOOKUP(A186,Лист1!$B$1:$Q$28,4,0)</f>
        <v>#N/A</v>
      </c>
      <c r="H186" s="20"/>
      <c r="I186" t="s">
        <v>11</v>
      </c>
      <c r="J186" s="3" t="s">
        <v>79</v>
      </c>
      <c r="L186" t="s">
        <v>7</v>
      </c>
      <c r="M186" t="s">
        <v>7</v>
      </c>
      <c r="N186" t="s">
        <v>9</v>
      </c>
      <c r="O186" t="e">
        <f>#REF!*D186</f>
        <v>#REF!</v>
      </c>
    </row>
    <row r="187" spans="2:16" ht="75" x14ac:dyDescent="0.25">
      <c r="B187" t="e">
        <f>VLOOKUP(#REF!,Лист1!$B$1:$J$82,2,0)</f>
        <v>#REF!</v>
      </c>
      <c r="C187" t="e">
        <f>VLOOKUP(A187,Лист1!$B$1:$Q$28,5,0)</f>
        <v>#N/A</v>
      </c>
      <c r="E187" s="25" t="e">
        <f>VLOOKUP(A187,Лист1!$B$1:$Q$28,3,0)</f>
        <v>#N/A</v>
      </c>
      <c r="F187" s="25"/>
      <c r="G187" t="e">
        <f>VLOOKUP(A187,Лист1!$B$1:$Q$28,4,0)</f>
        <v>#N/A</v>
      </c>
      <c r="H187" s="20"/>
      <c r="I187" t="s">
        <v>11</v>
      </c>
      <c r="J187" s="3" t="s">
        <v>79</v>
      </c>
      <c r="L187" t="s">
        <v>7</v>
      </c>
      <c r="M187" t="s">
        <v>7</v>
      </c>
      <c r="N187" t="s">
        <v>9</v>
      </c>
      <c r="O187" t="e">
        <f>#REF!*D187</f>
        <v>#REF!</v>
      </c>
    </row>
    <row r="188" spans="2:16" ht="75" x14ac:dyDescent="0.25">
      <c r="B188" t="e">
        <f>VLOOKUP(#REF!,Лист1!$B$1:$J$82,2,0)</f>
        <v>#REF!</v>
      </c>
      <c r="C188" t="e">
        <f>VLOOKUP(A188,Лист1!$B$1:$Q$28,5,0)</f>
        <v>#N/A</v>
      </c>
      <c r="E188" s="25" t="e">
        <f>VLOOKUP(A188,Лист1!$B$1:$Q$28,3,0)</f>
        <v>#N/A</v>
      </c>
      <c r="F188" s="25"/>
      <c r="G188" t="e">
        <f>VLOOKUP(A188,Лист1!$B$1:$Q$28,4,0)</f>
        <v>#N/A</v>
      </c>
      <c r="H188" s="20"/>
      <c r="I188" t="s">
        <v>11</v>
      </c>
      <c r="J188" s="3" t="s">
        <v>79</v>
      </c>
      <c r="L188" t="s">
        <v>7</v>
      </c>
      <c r="M188" t="s">
        <v>7</v>
      </c>
      <c r="N188" t="s">
        <v>9</v>
      </c>
      <c r="O188" t="e">
        <f>#REF!*D188</f>
        <v>#REF!</v>
      </c>
    </row>
    <row r="189" spans="2:16" ht="75" x14ac:dyDescent="0.25">
      <c r="B189" t="e">
        <f>VLOOKUP(#REF!,Лист1!$B$1:$J$82,2,0)</f>
        <v>#REF!</v>
      </c>
      <c r="C189" t="e">
        <f>VLOOKUP(A189,Лист1!$B$1:$Q$28,5,0)</f>
        <v>#N/A</v>
      </c>
      <c r="E189" s="25" t="e">
        <f>VLOOKUP(A189,Лист1!$B$1:$Q$28,3,0)</f>
        <v>#N/A</v>
      </c>
      <c r="F189" s="25"/>
      <c r="G189" t="e">
        <f>VLOOKUP(A189,Лист1!$B$1:$Q$28,4,0)</f>
        <v>#N/A</v>
      </c>
      <c r="H189" s="20"/>
      <c r="I189" t="s">
        <v>11</v>
      </c>
      <c r="J189" s="3" t="s">
        <v>79</v>
      </c>
      <c r="L189" t="s">
        <v>7</v>
      </c>
      <c r="M189" t="s">
        <v>7</v>
      </c>
      <c r="N189" t="s">
        <v>9</v>
      </c>
      <c r="O189" t="e">
        <f>#REF!*D189</f>
        <v>#REF!</v>
      </c>
    </row>
    <row r="190" spans="2:16" ht="75" x14ac:dyDescent="0.25">
      <c r="B190" t="e">
        <f>VLOOKUP(#REF!,Лист1!$B$1:$J$82,2,0)</f>
        <v>#REF!</v>
      </c>
      <c r="C190" t="e">
        <f>VLOOKUP(A190,Лист1!$B$1:$Q$28,5,0)</f>
        <v>#N/A</v>
      </c>
      <c r="E190" s="25" t="e">
        <f>VLOOKUP(A190,Лист1!$B$1:$Q$28,3,0)</f>
        <v>#N/A</v>
      </c>
      <c r="F190" s="25"/>
      <c r="G190" t="e">
        <f>VLOOKUP(A190,Лист1!$B$1:$Q$28,4,0)</f>
        <v>#N/A</v>
      </c>
      <c r="H190" s="20"/>
      <c r="I190" t="s">
        <v>11</v>
      </c>
      <c r="J190" s="3" t="s">
        <v>79</v>
      </c>
      <c r="L190" t="s">
        <v>7</v>
      </c>
      <c r="M190" t="s">
        <v>7</v>
      </c>
      <c r="N190" t="s">
        <v>9</v>
      </c>
      <c r="O190" t="e">
        <f>#REF!*D190</f>
        <v>#REF!</v>
      </c>
    </row>
    <row r="191" spans="2:16" ht="75" x14ac:dyDescent="0.25">
      <c r="B191" t="e">
        <f>VLOOKUP(#REF!,Лист1!$B$1:$J$82,2,0)</f>
        <v>#REF!</v>
      </c>
      <c r="C191" t="e">
        <f>VLOOKUP(A191,Лист1!$B$1:$Q$28,5,0)</f>
        <v>#N/A</v>
      </c>
      <c r="E191" s="25" t="e">
        <f>VLOOKUP(A191,Лист1!$B$1:$Q$28,3,0)</f>
        <v>#N/A</v>
      </c>
      <c r="F191" s="25"/>
      <c r="G191" t="e">
        <f>VLOOKUP(A191,Лист1!$B$1:$Q$28,4,0)</f>
        <v>#N/A</v>
      </c>
      <c r="H191" s="20"/>
      <c r="I191" t="s">
        <v>11</v>
      </c>
      <c r="J191" s="3" t="s">
        <v>79</v>
      </c>
      <c r="L191" t="s">
        <v>7</v>
      </c>
      <c r="M191" t="s">
        <v>7</v>
      </c>
      <c r="N191" t="s">
        <v>9</v>
      </c>
      <c r="O191" t="e">
        <f>#REF!*D191</f>
        <v>#REF!</v>
      </c>
    </row>
    <row r="192" spans="2:16" ht="75" x14ac:dyDescent="0.25">
      <c r="B192" t="e">
        <f>VLOOKUP(#REF!,Лист1!$B$1:$J$82,2,0)</f>
        <v>#REF!</v>
      </c>
      <c r="C192" t="e">
        <f>VLOOKUP(A192,Лист1!$B$1:$Q$28,5,0)</f>
        <v>#N/A</v>
      </c>
      <c r="E192" s="25" t="e">
        <f>VLOOKUP(A192,Лист1!$B$1:$Q$28,3,0)</f>
        <v>#N/A</v>
      </c>
      <c r="F192" s="25"/>
      <c r="G192" t="e">
        <f>VLOOKUP(A192,Лист1!$B$1:$Q$28,4,0)</f>
        <v>#N/A</v>
      </c>
      <c r="H192" s="20"/>
      <c r="I192" t="s">
        <v>11</v>
      </c>
      <c r="J192" s="3" t="s">
        <v>79</v>
      </c>
      <c r="L192" t="s">
        <v>7</v>
      </c>
      <c r="M192" t="s">
        <v>7</v>
      </c>
      <c r="N192" t="s">
        <v>9</v>
      </c>
      <c r="O192" t="e">
        <f>#REF!*D192</f>
        <v>#REF!</v>
      </c>
    </row>
    <row r="193" spans="2:15" ht="75" x14ac:dyDescent="0.25">
      <c r="B193" t="e">
        <f>VLOOKUP(#REF!,Лист1!$B$1:$J$82,2,0)</f>
        <v>#REF!</v>
      </c>
      <c r="C193" t="e">
        <f>VLOOKUP(A193,Лист1!$B$1:$Q$28,5,0)</f>
        <v>#N/A</v>
      </c>
      <c r="E193" s="25" t="e">
        <f>VLOOKUP(A193,Лист1!$B$1:$Q$28,3,0)</f>
        <v>#N/A</v>
      </c>
      <c r="F193" s="25"/>
      <c r="G193" t="e">
        <f>VLOOKUP(A193,Лист1!$B$1:$Q$28,4,0)</f>
        <v>#N/A</v>
      </c>
      <c r="H193" s="20"/>
      <c r="I193" t="s">
        <v>11</v>
      </c>
      <c r="J193" s="3" t="s">
        <v>79</v>
      </c>
      <c r="L193" t="s">
        <v>7</v>
      </c>
      <c r="M193" t="s">
        <v>7</v>
      </c>
      <c r="N193" t="s">
        <v>9</v>
      </c>
      <c r="O193" t="e">
        <f>#REF!*D193</f>
        <v>#REF!</v>
      </c>
    </row>
    <row r="194" spans="2:15" ht="75" x14ac:dyDescent="0.25">
      <c r="B194" t="e">
        <f>VLOOKUP(#REF!,Лист1!$B$1:$J$82,2,0)</f>
        <v>#REF!</v>
      </c>
      <c r="C194" t="e">
        <f>VLOOKUP(A194,Лист1!$B$1:$Q$28,5,0)</f>
        <v>#N/A</v>
      </c>
      <c r="E194" s="25" t="e">
        <f>VLOOKUP(A194,Лист1!$B$1:$Q$28,3,0)</f>
        <v>#N/A</v>
      </c>
      <c r="F194" s="25"/>
      <c r="G194" t="e">
        <f>VLOOKUP(A194,Лист1!$B$1:$Q$28,4,0)</f>
        <v>#N/A</v>
      </c>
      <c r="H194" s="20"/>
      <c r="I194" t="s">
        <v>11</v>
      </c>
      <c r="J194" s="3" t="s">
        <v>79</v>
      </c>
      <c r="L194" t="s">
        <v>7</v>
      </c>
      <c r="M194" t="s">
        <v>7</v>
      </c>
      <c r="N194" t="s">
        <v>9</v>
      </c>
      <c r="O194" t="e">
        <f>#REF!*D194</f>
        <v>#REF!</v>
      </c>
    </row>
    <row r="195" spans="2:15" ht="75" x14ac:dyDescent="0.25">
      <c r="B195" t="e">
        <f>VLOOKUP(#REF!,Лист1!$B$1:$J$82,2,0)</f>
        <v>#REF!</v>
      </c>
      <c r="C195" t="e">
        <f>VLOOKUP(A195,Лист1!$B$1:$Q$28,5,0)</f>
        <v>#N/A</v>
      </c>
      <c r="E195" s="25" t="e">
        <f>VLOOKUP(A195,Лист1!$B$1:$Q$28,3,0)</f>
        <v>#N/A</v>
      </c>
      <c r="F195" s="25"/>
      <c r="G195" t="e">
        <f>VLOOKUP(A195,Лист1!$B$1:$Q$28,4,0)</f>
        <v>#N/A</v>
      </c>
      <c r="H195" s="20"/>
      <c r="I195" t="s">
        <v>11</v>
      </c>
      <c r="J195" s="3" t="s">
        <v>79</v>
      </c>
      <c r="L195" t="s">
        <v>7</v>
      </c>
      <c r="M195" t="s">
        <v>7</v>
      </c>
      <c r="N195" t="s">
        <v>9</v>
      </c>
      <c r="O195" t="e">
        <f>#REF!*D195</f>
        <v>#REF!</v>
      </c>
    </row>
    <row r="196" spans="2:15" ht="75" x14ac:dyDescent="0.25">
      <c r="B196" t="e">
        <f>VLOOKUP(#REF!,Лист1!$B$1:$J$82,2,0)</f>
        <v>#REF!</v>
      </c>
      <c r="C196" t="e">
        <f>VLOOKUP(A196,Лист1!$B$1:$Q$28,5,0)</f>
        <v>#N/A</v>
      </c>
      <c r="E196" s="25" t="e">
        <f>VLOOKUP(A196,Лист1!$B$1:$Q$28,3,0)</f>
        <v>#N/A</v>
      </c>
      <c r="F196" s="25"/>
      <c r="G196" t="e">
        <f>VLOOKUP(A196,Лист1!$B$1:$Q$28,4,0)</f>
        <v>#N/A</v>
      </c>
      <c r="H196" s="20"/>
      <c r="I196" t="s">
        <v>11</v>
      </c>
      <c r="J196" s="3" t="s">
        <v>79</v>
      </c>
      <c r="L196" t="s">
        <v>7</v>
      </c>
      <c r="M196" t="s">
        <v>7</v>
      </c>
      <c r="N196" t="s">
        <v>9</v>
      </c>
      <c r="O196" t="e">
        <f>#REF!*D196</f>
        <v>#REF!</v>
      </c>
    </row>
    <row r="197" spans="2:15" ht="75" x14ac:dyDescent="0.25">
      <c r="B197" t="e">
        <f>VLOOKUP(#REF!,Лист1!$B$1:$J$82,2,0)</f>
        <v>#REF!</v>
      </c>
      <c r="C197" t="e">
        <f>VLOOKUP(A197,Лист1!$B$1:$Q$28,5,0)</f>
        <v>#N/A</v>
      </c>
      <c r="E197" s="25" t="e">
        <f>VLOOKUP(A197,Лист1!$B$1:$Q$28,3,0)</f>
        <v>#N/A</v>
      </c>
      <c r="F197" s="25"/>
      <c r="G197" t="e">
        <f>VLOOKUP(A197,Лист1!$B$1:$Q$28,4,0)</f>
        <v>#N/A</v>
      </c>
      <c r="H197" s="20"/>
      <c r="I197" t="s">
        <v>11</v>
      </c>
      <c r="J197" s="3" t="s">
        <v>79</v>
      </c>
      <c r="L197" t="s">
        <v>7</v>
      </c>
      <c r="M197" t="s">
        <v>7</v>
      </c>
      <c r="N197" t="s">
        <v>9</v>
      </c>
      <c r="O197" t="e">
        <f>#REF!*D197</f>
        <v>#REF!</v>
      </c>
    </row>
    <row r="198" spans="2:15" ht="75" x14ac:dyDescent="0.25">
      <c r="B198" t="e">
        <f>VLOOKUP(#REF!,Лист1!$B$1:$J$82,2,0)</f>
        <v>#REF!</v>
      </c>
      <c r="C198" t="e">
        <f>VLOOKUP(A198,Лист1!$B$1:$Q$28,5,0)</f>
        <v>#N/A</v>
      </c>
      <c r="E198" s="25" t="e">
        <f>VLOOKUP(A198,Лист1!$B$1:$Q$28,3,0)</f>
        <v>#N/A</v>
      </c>
      <c r="F198" s="25"/>
      <c r="G198" t="e">
        <f>VLOOKUP(A198,Лист1!$B$1:$Q$28,4,0)</f>
        <v>#N/A</v>
      </c>
      <c r="H198" s="20"/>
      <c r="I198" t="s">
        <v>11</v>
      </c>
      <c r="J198" s="3" t="s">
        <v>79</v>
      </c>
      <c r="L198" t="s">
        <v>7</v>
      </c>
      <c r="M198" t="s">
        <v>7</v>
      </c>
      <c r="N198" t="s">
        <v>9</v>
      </c>
      <c r="O198" t="e">
        <f>#REF!*D198</f>
        <v>#REF!</v>
      </c>
    </row>
    <row r="199" spans="2:15" ht="75" x14ac:dyDescent="0.25">
      <c r="B199" t="e">
        <f>VLOOKUP(#REF!,Лист1!$B$1:$J$82,2,0)</f>
        <v>#REF!</v>
      </c>
      <c r="C199" t="e">
        <f>VLOOKUP(A199,Лист1!$B$1:$Q$28,5,0)</f>
        <v>#N/A</v>
      </c>
      <c r="E199" s="25" t="e">
        <f>VLOOKUP(A199,Лист1!$B$1:$Q$28,3,0)</f>
        <v>#N/A</v>
      </c>
      <c r="F199" s="25"/>
      <c r="G199" t="e">
        <f>VLOOKUP(A199,Лист1!$B$1:$Q$28,4,0)</f>
        <v>#N/A</v>
      </c>
      <c r="H199" s="20"/>
      <c r="I199" t="s">
        <v>11</v>
      </c>
      <c r="J199" s="3" t="s">
        <v>79</v>
      </c>
      <c r="L199" t="s">
        <v>7</v>
      </c>
      <c r="M199" t="s">
        <v>7</v>
      </c>
      <c r="N199" t="s">
        <v>9</v>
      </c>
      <c r="O199" t="e">
        <f>#REF!*D199</f>
        <v>#REF!</v>
      </c>
    </row>
    <row r="200" spans="2:15" ht="75" x14ac:dyDescent="0.25">
      <c r="B200" t="e">
        <f>VLOOKUP(#REF!,Лист1!$B$1:$J$82,2,0)</f>
        <v>#REF!</v>
      </c>
      <c r="C200" t="e">
        <f>VLOOKUP(A200,Лист1!$B$1:$Q$28,5,0)</f>
        <v>#N/A</v>
      </c>
      <c r="E200" s="25" t="e">
        <f>VLOOKUP(A200,Лист1!$B$1:$Q$28,3,0)</f>
        <v>#N/A</v>
      </c>
      <c r="F200" s="25"/>
      <c r="G200" t="e">
        <f>VLOOKUP(A200,Лист1!$B$1:$Q$28,4,0)</f>
        <v>#N/A</v>
      </c>
      <c r="H200" s="20"/>
      <c r="I200" t="s">
        <v>11</v>
      </c>
      <c r="J200" s="3" t="s">
        <v>79</v>
      </c>
      <c r="L200" t="s">
        <v>7</v>
      </c>
      <c r="M200" t="s">
        <v>7</v>
      </c>
      <c r="N200" t="s">
        <v>9</v>
      </c>
      <c r="O200" t="e">
        <f>#REF!*D200</f>
        <v>#REF!</v>
      </c>
    </row>
    <row r="201" spans="2:15" ht="75" x14ac:dyDescent="0.25">
      <c r="B201" t="e">
        <f>VLOOKUP(#REF!,Лист1!$B$1:$J$82,2,0)</f>
        <v>#REF!</v>
      </c>
      <c r="C201" t="e">
        <f>VLOOKUP(A201,Лист1!$B$1:$Q$28,5,0)</f>
        <v>#N/A</v>
      </c>
      <c r="E201" s="25" t="e">
        <f>VLOOKUP(A201,Лист1!$B$1:$Q$28,3,0)</f>
        <v>#N/A</v>
      </c>
      <c r="F201" s="25"/>
      <c r="G201" t="e">
        <f>VLOOKUP(A201,Лист1!$B$1:$Q$28,4,0)</f>
        <v>#N/A</v>
      </c>
      <c r="H201" s="20"/>
      <c r="I201" t="s">
        <v>11</v>
      </c>
      <c r="J201" s="3" t="s">
        <v>79</v>
      </c>
      <c r="L201" t="s">
        <v>7</v>
      </c>
      <c r="M201" t="s">
        <v>7</v>
      </c>
      <c r="N201" t="s">
        <v>9</v>
      </c>
      <c r="O201" t="e">
        <f>#REF!*D201</f>
        <v>#REF!</v>
      </c>
    </row>
    <row r="202" spans="2:15" ht="75" x14ac:dyDescent="0.25">
      <c r="B202" t="e">
        <f>VLOOKUP(#REF!,Лист1!$B$1:$J$82,2,0)</f>
        <v>#REF!</v>
      </c>
      <c r="C202" t="e">
        <f>VLOOKUP(A202,Лист1!$B$1:$Q$28,5,0)</f>
        <v>#N/A</v>
      </c>
      <c r="E202" s="25" t="e">
        <f>VLOOKUP(A202,Лист1!$B$1:$Q$28,3,0)</f>
        <v>#N/A</v>
      </c>
      <c r="F202" s="25"/>
      <c r="G202" t="e">
        <f>VLOOKUP(A202,Лист1!$B$1:$Q$28,4,0)</f>
        <v>#N/A</v>
      </c>
      <c r="H202" s="20"/>
      <c r="I202" t="s">
        <v>11</v>
      </c>
      <c r="J202" s="3" t="s">
        <v>79</v>
      </c>
      <c r="L202" t="s">
        <v>7</v>
      </c>
      <c r="M202" t="s">
        <v>7</v>
      </c>
      <c r="N202" t="s">
        <v>9</v>
      </c>
      <c r="O202" t="e">
        <f>#REF!*D202</f>
        <v>#REF!</v>
      </c>
    </row>
    <row r="203" spans="2:15" ht="75" x14ac:dyDescent="0.25">
      <c r="B203" t="e">
        <f>VLOOKUP(#REF!,Лист1!$B$1:$J$82,2,0)</f>
        <v>#REF!</v>
      </c>
      <c r="C203" t="e">
        <f>VLOOKUP(A203,Лист1!$B$1:$Q$28,5,0)</f>
        <v>#N/A</v>
      </c>
      <c r="E203" s="25" t="e">
        <f>VLOOKUP(A203,Лист1!$B$1:$Q$28,3,0)</f>
        <v>#N/A</v>
      </c>
      <c r="F203" s="25"/>
      <c r="G203" t="e">
        <f>VLOOKUP(A203,Лист1!$B$1:$Q$28,4,0)</f>
        <v>#N/A</v>
      </c>
      <c r="H203" s="20"/>
      <c r="I203" t="s">
        <v>11</v>
      </c>
      <c r="J203" s="3" t="s">
        <v>79</v>
      </c>
      <c r="L203" t="s">
        <v>7</v>
      </c>
      <c r="M203" t="s">
        <v>7</v>
      </c>
      <c r="N203" t="s">
        <v>9</v>
      </c>
      <c r="O203" t="e">
        <f>#REF!*D203</f>
        <v>#REF!</v>
      </c>
    </row>
    <row r="204" spans="2:15" ht="75" x14ac:dyDescent="0.25">
      <c r="B204" t="e">
        <f>VLOOKUP(#REF!,Лист1!$B$1:$J$82,2,0)</f>
        <v>#REF!</v>
      </c>
      <c r="C204" t="e">
        <f>VLOOKUP(A204,Лист1!$B$1:$Q$28,5,0)</f>
        <v>#N/A</v>
      </c>
      <c r="E204" s="25" t="e">
        <f>VLOOKUP(A204,Лист1!$B$1:$Q$28,3,0)</f>
        <v>#N/A</v>
      </c>
      <c r="F204" s="25"/>
      <c r="G204" t="e">
        <f>VLOOKUP(A204,Лист1!$B$1:$Q$28,4,0)</f>
        <v>#N/A</v>
      </c>
      <c r="H204" s="20"/>
      <c r="I204" t="s">
        <v>11</v>
      </c>
      <c r="J204" s="3" t="s">
        <v>79</v>
      </c>
      <c r="L204" t="s">
        <v>7</v>
      </c>
      <c r="M204" t="s">
        <v>7</v>
      </c>
      <c r="N204" t="s">
        <v>9</v>
      </c>
      <c r="O204" t="e">
        <f>#REF!*D204</f>
        <v>#REF!</v>
      </c>
    </row>
    <row r="205" spans="2:15" ht="75" x14ac:dyDescent="0.25">
      <c r="B205" t="e">
        <f>VLOOKUP(#REF!,Лист1!$B$1:$J$82,2,0)</f>
        <v>#REF!</v>
      </c>
      <c r="C205" t="e">
        <f>VLOOKUP(A205,Лист1!$B$1:$Q$28,5,0)</f>
        <v>#N/A</v>
      </c>
      <c r="E205" s="25" t="e">
        <f>VLOOKUP(A205,Лист1!$B$1:$Q$28,3,0)</f>
        <v>#N/A</v>
      </c>
      <c r="F205" s="25"/>
      <c r="G205" t="e">
        <f>VLOOKUP(A205,Лист1!$B$1:$Q$28,4,0)</f>
        <v>#N/A</v>
      </c>
      <c r="H205" s="20"/>
      <c r="I205" t="s">
        <v>11</v>
      </c>
      <c r="J205" s="3" t="s">
        <v>79</v>
      </c>
      <c r="L205" t="s">
        <v>7</v>
      </c>
      <c r="M205" t="s">
        <v>7</v>
      </c>
      <c r="N205" t="s">
        <v>9</v>
      </c>
      <c r="O205" t="e">
        <f>#REF!*D205</f>
        <v>#REF!</v>
      </c>
    </row>
    <row r="206" spans="2:15" ht="75" x14ac:dyDescent="0.25">
      <c r="B206" t="e">
        <f>VLOOKUP(#REF!,Лист1!$B$1:$J$82,2,0)</f>
        <v>#REF!</v>
      </c>
      <c r="C206" t="e">
        <f>VLOOKUP(A206,Лист1!$B$1:$Q$28,5,0)</f>
        <v>#N/A</v>
      </c>
      <c r="E206" s="25" t="e">
        <f>VLOOKUP(A206,Лист1!$B$1:$Q$28,3,0)</f>
        <v>#N/A</v>
      </c>
      <c r="F206" s="25"/>
      <c r="G206" t="e">
        <f>VLOOKUP(A206,Лист1!$B$1:$Q$28,4,0)</f>
        <v>#N/A</v>
      </c>
      <c r="H206" s="20"/>
      <c r="I206" t="s">
        <v>11</v>
      </c>
      <c r="J206" s="3" t="s">
        <v>79</v>
      </c>
      <c r="L206" t="s">
        <v>7</v>
      </c>
      <c r="M206" t="s">
        <v>7</v>
      </c>
      <c r="N206" t="s">
        <v>9</v>
      </c>
      <c r="O206" t="e">
        <f>#REF!*D206</f>
        <v>#REF!</v>
      </c>
    </row>
    <row r="207" spans="2:15" ht="75" x14ac:dyDescent="0.25">
      <c r="B207" t="e">
        <f>VLOOKUP(#REF!,Лист1!$B$1:$J$82,2,0)</f>
        <v>#REF!</v>
      </c>
      <c r="C207" t="e">
        <f>VLOOKUP(A207,Лист1!$B$1:$Q$28,5,0)</f>
        <v>#N/A</v>
      </c>
      <c r="E207" s="25" t="e">
        <f>VLOOKUP(A207,Лист1!$B$1:$Q$28,3,0)</f>
        <v>#N/A</v>
      </c>
      <c r="F207" s="25"/>
      <c r="G207" t="e">
        <f>VLOOKUP(A207,Лист1!$B$1:$Q$28,4,0)</f>
        <v>#N/A</v>
      </c>
      <c r="H207" s="20"/>
      <c r="I207" t="s">
        <v>11</v>
      </c>
      <c r="J207" s="3" t="s">
        <v>79</v>
      </c>
      <c r="L207" t="s">
        <v>7</v>
      </c>
      <c r="M207" t="s">
        <v>7</v>
      </c>
      <c r="N207" t="s">
        <v>9</v>
      </c>
      <c r="O207" t="e">
        <f>#REF!*D207</f>
        <v>#REF!</v>
      </c>
    </row>
    <row r="208" spans="2:15" ht="75" x14ac:dyDescent="0.25">
      <c r="B208" t="e">
        <f>VLOOKUP(#REF!,Лист1!$B$1:$J$82,2,0)</f>
        <v>#REF!</v>
      </c>
      <c r="C208" t="e">
        <f>VLOOKUP(A208,Лист1!$B$1:$Q$28,5,0)</f>
        <v>#N/A</v>
      </c>
      <c r="E208" s="25" t="e">
        <f>VLOOKUP(A208,Лист1!$B$1:$Q$28,3,0)</f>
        <v>#N/A</v>
      </c>
      <c r="F208" s="25"/>
      <c r="G208" t="e">
        <f>VLOOKUP(A208,Лист1!$B$1:$Q$28,4,0)</f>
        <v>#N/A</v>
      </c>
      <c r="H208" s="20"/>
      <c r="I208" t="s">
        <v>11</v>
      </c>
      <c r="J208" s="3" t="s">
        <v>79</v>
      </c>
      <c r="L208" t="s">
        <v>7</v>
      </c>
      <c r="M208" t="s">
        <v>7</v>
      </c>
      <c r="N208" t="s">
        <v>9</v>
      </c>
      <c r="O208" t="e">
        <f>#REF!*D208</f>
        <v>#REF!</v>
      </c>
    </row>
    <row r="209" spans="2:15" ht="75" x14ac:dyDescent="0.25">
      <c r="B209" t="e">
        <f>VLOOKUP(#REF!,Лист1!$B$1:$J$82,2,0)</f>
        <v>#REF!</v>
      </c>
      <c r="C209" t="e">
        <f>VLOOKUP(A209,Лист1!$B$1:$Q$28,5,0)</f>
        <v>#N/A</v>
      </c>
      <c r="E209" s="25" t="e">
        <f>VLOOKUP(A209,Лист1!$B$1:$Q$28,3,0)</f>
        <v>#N/A</v>
      </c>
      <c r="F209" s="25"/>
      <c r="G209" t="e">
        <f>VLOOKUP(A209,Лист1!$B$1:$Q$28,4,0)</f>
        <v>#N/A</v>
      </c>
      <c r="H209" s="20"/>
      <c r="I209" t="s">
        <v>11</v>
      </c>
      <c r="J209" s="3" t="s">
        <v>79</v>
      </c>
      <c r="L209" t="s">
        <v>7</v>
      </c>
      <c r="M209" t="s">
        <v>7</v>
      </c>
      <c r="N209" t="s">
        <v>9</v>
      </c>
      <c r="O209" t="e">
        <f>#REF!*D209</f>
        <v>#REF!</v>
      </c>
    </row>
    <row r="210" spans="2:15" ht="75" x14ac:dyDescent="0.25">
      <c r="B210" t="e">
        <f>VLOOKUP(#REF!,Лист1!$B$1:$J$82,2,0)</f>
        <v>#REF!</v>
      </c>
      <c r="C210" t="e">
        <f>VLOOKUP(A210,Лист1!$B$1:$Q$28,5,0)</f>
        <v>#N/A</v>
      </c>
      <c r="E210" s="25" t="e">
        <f>VLOOKUP(A210,Лист1!$B$1:$Q$28,3,0)</f>
        <v>#N/A</v>
      </c>
      <c r="F210" s="25"/>
      <c r="G210" t="e">
        <f>VLOOKUP(A210,Лист1!$B$1:$Q$28,4,0)</f>
        <v>#N/A</v>
      </c>
      <c r="H210" s="20"/>
      <c r="J210" s="3" t="s">
        <v>79</v>
      </c>
      <c r="L210" t="s">
        <v>7</v>
      </c>
      <c r="M210" t="s">
        <v>7</v>
      </c>
      <c r="N210" t="s">
        <v>9</v>
      </c>
      <c r="O210" t="e">
        <f>#REF!*D210</f>
        <v>#REF!</v>
      </c>
    </row>
    <row r="211" spans="2:15" ht="75" x14ac:dyDescent="0.25">
      <c r="B211" t="e">
        <f>VLOOKUP(#REF!,Лист1!$B$1:$J$82,2,0)</f>
        <v>#REF!</v>
      </c>
      <c r="C211" t="e">
        <f>VLOOKUP(A211,Лист1!$B$1:$Q$28,5,0)</f>
        <v>#N/A</v>
      </c>
      <c r="E211" s="25" t="e">
        <f>VLOOKUP(A211,Лист1!$B$1:$Q$28,3,0)</f>
        <v>#N/A</v>
      </c>
      <c r="F211" s="25"/>
      <c r="G211" t="e">
        <f>VLOOKUP(A211,Лист1!$B$1:$Q$28,4,0)</f>
        <v>#N/A</v>
      </c>
      <c r="H211" s="20"/>
      <c r="J211" s="3" t="s">
        <v>79</v>
      </c>
      <c r="L211" t="s">
        <v>7</v>
      </c>
      <c r="M211" t="s">
        <v>7</v>
      </c>
      <c r="N211" t="s">
        <v>9</v>
      </c>
      <c r="O211" t="e">
        <f>#REF!*D211</f>
        <v>#REF!</v>
      </c>
    </row>
    <row r="212" spans="2:15" ht="75" x14ac:dyDescent="0.25">
      <c r="B212" t="e">
        <f>VLOOKUP(#REF!,Лист1!$B$1:$J$82,2,0)</f>
        <v>#REF!</v>
      </c>
      <c r="C212" t="e">
        <f>VLOOKUP(A212,Лист1!$B$1:$Q$28,5,0)</f>
        <v>#N/A</v>
      </c>
      <c r="E212" s="25" t="e">
        <f>VLOOKUP(A212,Лист1!$B$1:$Q$28,3,0)</f>
        <v>#N/A</v>
      </c>
      <c r="F212" s="25"/>
      <c r="G212" t="e">
        <f>VLOOKUP(A212,Лист1!$B$1:$Q$28,4,0)</f>
        <v>#N/A</v>
      </c>
      <c r="H212" s="20"/>
      <c r="J212" s="3" t="s">
        <v>79</v>
      </c>
      <c r="L212" t="s">
        <v>7</v>
      </c>
      <c r="M212" t="s">
        <v>7</v>
      </c>
      <c r="N212" t="s">
        <v>9</v>
      </c>
      <c r="O212" t="e">
        <f>#REF!*D212</f>
        <v>#REF!</v>
      </c>
    </row>
    <row r="213" spans="2:15" ht="75" x14ac:dyDescent="0.25">
      <c r="B213" t="e">
        <f>VLOOKUP(#REF!,Лист1!$B$1:$J$82,2,0)</f>
        <v>#REF!</v>
      </c>
      <c r="C213" t="e">
        <f>VLOOKUP(A213,Лист1!$B$1:$Q$28,5,0)</f>
        <v>#N/A</v>
      </c>
      <c r="E213" s="25" t="e">
        <f>VLOOKUP(A213,Лист1!$B$1:$Q$28,3,0)</f>
        <v>#N/A</v>
      </c>
      <c r="F213" s="25"/>
      <c r="G213" t="e">
        <f>VLOOKUP(A213,Лист1!$B$1:$Q$28,4,0)</f>
        <v>#N/A</v>
      </c>
      <c r="H213" s="20"/>
      <c r="J213" s="3" t="s">
        <v>79</v>
      </c>
      <c r="L213" t="s">
        <v>7</v>
      </c>
      <c r="M213" t="s">
        <v>7</v>
      </c>
      <c r="N213" t="s">
        <v>9</v>
      </c>
      <c r="O213" t="e">
        <f>#REF!*D213</f>
        <v>#REF!</v>
      </c>
    </row>
    <row r="214" spans="2:15" ht="75" x14ac:dyDescent="0.25">
      <c r="B214" t="e">
        <f>VLOOKUP(#REF!,Лист1!$B$1:$J$82,2,0)</f>
        <v>#REF!</v>
      </c>
      <c r="C214" t="e">
        <f>VLOOKUP(A214,Лист1!$B$1:$Q$28,5,0)</f>
        <v>#N/A</v>
      </c>
      <c r="E214" s="25" t="e">
        <f>VLOOKUP(A214,Лист1!$B$1:$Q$28,3,0)</f>
        <v>#N/A</v>
      </c>
      <c r="F214" s="25"/>
      <c r="G214" t="e">
        <f>VLOOKUP(A214,Лист1!$B$1:$Q$28,4,0)</f>
        <v>#N/A</v>
      </c>
      <c r="H214" s="20"/>
      <c r="J214" s="3" t="s">
        <v>79</v>
      </c>
      <c r="L214" t="s">
        <v>7</v>
      </c>
      <c r="M214" t="s">
        <v>7</v>
      </c>
      <c r="N214" t="s">
        <v>9</v>
      </c>
      <c r="O214" t="e">
        <f>#REF!*D214</f>
        <v>#REF!</v>
      </c>
    </row>
    <row r="215" spans="2:15" ht="75" x14ac:dyDescent="0.25">
      <c r="B215" t="e">
        <f>VLOOKUP(#REF!,Лист1!$B$1:$J$82,2,0)</f>
        <v>#REF!</v>
      </c>
      <c r="C215" t="e">
        <f>VLOOKUP(A215,Лист1!$B$1:$Q$28,5,0)</f>
        <v>#N/A</v>
      </c>
      <c r="E215" s="25" t="e">
        <f>VLOOKUP(A215,Лист1!$B$1:$Q$28,3,0)</f>
        <v>#N/A</v>
      </c>
      <c r="F215" s="25"/>
      <c r="G215" t="e">
        <f>VLOOKUP(A215,Лист1!$B$1:$Q$28,4,0)</f>
        <v>#N/A</v>
      </c>
      <c r="H215" s="20"/>
      <c r="J215" s="3" t="s">
        <v>79</v>
      </c>
      <c r="L215" t="s">
        <v>7</v>
      </c>
      <c r="M215" t="s">
        <v>7</v>
      </c>
      <c r="N215" t="s">
        <v>9</v>
      </c>
      <c r="O215" t="e">
        <f>#REF!*D215</f>
        <v>#REF!</v>
      </c>
    </row>
    <row r="216" spans="2:15" ht="75" x14ac:dyDescent="0.25">
      <c r="B216" t="e">
        <f>VLOOKUP(#REF!,Лист1!$B$1:$J$82,2,0)</f>
        <v>#REF!</v>
      </c>
      <c r="C216" t="e">
        <f>VLOOKUP(A216,Лист1!$B$1:$Q$28,5,0)</f>
        <v>#N/A</v>
      </c>
      <c r="E216" s="25" t="e">
        <f>VLOOKUP(A216,Лист1!$B$1:$Q$28,3,0)</f>
        <v>#N/A</v>
      </c>
      <c r="F216" s="25"/>
      <c r="G216" t="e">
        <f>VLOOKUP(A216,Лист1!$B$1:$Q$28,4,0)</f>
        <v>#N/A</v>
      </c>
      <c r="H216" s="20"/>
      <c r="J216" s="3" t="s">
        <v>79</v>
      </c>
      <c r="L216" t="s">
        <v>7</v>
      </c>
      <c r="M216" t="s">
        <v>7</v>
      </c>
      <c r="N216" t="s">
        <v>9</v>
      </c>
      <c r="O216" t="e">
        <f>#REF!*D216</f>
        <v>#REF!</v>
      </c>
    </row>
    <row r="217" spans="2:15" ht="75" x14ac:dyDescent="0.25">
      <c r="B217" t="e">
        <f>VLOOKUP(#REF!,Лист1!$B$1:$J$82,2,0)</f>
        <v>#REF!</v>
      </c>
      <c r="C217" t="e">
        <f>VLOOKUP(A217,Лист1!$B$1:$Q$28,5,0)</f>
        <v>#N/A</v>
      </c>
      <c r="E217" s="25" t="e">
        <f>VLOOKUP(A217,Лист1!$B$1:$Q$28,3,0)</f>
        <v>#N/A</v>
      </c>
      <c r="F217" s="25"/>
      <c r="G217" t="e">
        <f>VLOOKUP(A217,Лист1!$B$1:$Q$28,4,0)</f>
        <v>#N/A</v>
      </c>
      <c r="H217" s="20"/>
      <c r="J217" s="3" t="s">
        <v>79</v>
      </c>
      <c r="L217" t="s">
        <v>7</v>
      </c>
      <c r="M217" t="s">
        <v>7</v>
      </c>
      <c r="N217" t="s">
        <v>9</v>
      </c>
      <c r="O217" t="e">
        <f>#REF!*D217</f>
        <v>#REF!</v>
      </c>
    </row>
    <row r="218" spans="2:15" ht="75" x14ac:dyDescent="0.25">
      <c r="B218" t="e">
        <f>VLOOKUP(#REF!,Лист1!$B$1:$J$82,2,0)</f>
        <v>#REF!</v>
      </c>
      <c r="C218" t="e">
        <f>VLOOKUP(A218,Лист1!$B$1:$Q$28,5,0)</f>
        <v>#N/A</v>
      </c>
      <c r="E218" s="25" t="e">
        <f>VLOOKUP(A218,Лист1!$B$1:$Q$28,3,0)</f>
        <v>#N/A</v>
      </c>
      <c r="F218" s="25"/>
      <c r="G218" t="e">
        <f>VLOOKUP(A218,Лист1!$B$1:$Q$28,4,0)</f>
        <v>#N/A</v>
      </c>
      <c r="H218" s="20"/>
      <c r="J218" s="3" t="s">
        <v>79</v>
      </c>
      <c r="L218" t="s">
        <v>7</v>
      </c>
      <c r="M218" t="s">
        <v>7</v>
      </c>
      <c r="N218" t="s">
        <v>9</v>
      </c>
      <c r="O218" t="e">
        <f>#REF!*D218</f>
        <v>#REF!</v>
      </c>
    </row>
    <row r="219" spans="2:15" ht="75" x14ac:dyDescent="0.25">
      <c r="B219" t="e">
        <f>VLOOKUP(#REF!,Лист1!$B$1:$J$82,2,0)</f>
        <v>#REF!</v>
      </c>
      <c r="C219" t="e">
        <f>VLOOKUP(A219,Лист1!$B$1:$Q$28,5,0)</f>
        <v>#N/A</v>
      </c>
      <c r="E219" s="25" t="e">
        <f>VLOOKUP(A219,Лист1!$B$1:$Q$28,3,0)</f>
        <v>#N/A</v>
      </c>
      <c r="F219" s="25"/>
      <c r="G219" t="e">
        <f>VLOOKUP(A219,Лист1!$B$1:$Q$28,4,0)</f>
        <v>#N/A</v>
      </c>
      <c r="H219" s="20"/>
      <c r="J219" s="3" t="s">
        <v>79</v>
      </c>
      <c r="L219" t="s">
        <v>7</v>
      </c>
      <c r="M219" t="s">
        <v>7</v>
      </c>
      <c r="N219" t="s">
        <v>9</v>
      </c>
      <c r="O219" t="e">
        <f>#REF!*D219</f>
        <v>#REF!</v>
      </c>
    </row>
    <row r="220" spans="2:15" ht="75" x14ac:dyDescent="0.25">
      <c r="B220" t="e">
        <f>VLOOKUP(#REF!,Лист1!$B$1:$J$82,2,0)</f>
        <v>#REF!</v>
      </c>
      <c r="C220" t="e">
        <f>VLOOKUP(A220,Лист1!$B$1:$Q$28,5,0)</f>
        <v>#N/A</v>
      </c>
      <c r="E220" s="25" t="e">
        <f>VLOOKUP(A220,Лист1!$B$1:$Q$28,3,0)</f>
        <v>#N/A</v>
      </c>
      <c r="F220" s="25"/>
      <c r="G220" t="e">
        <f>VLOOKUP(A220,Лист1!$B$1:$Q$28,4,0)</f>
        <v>#N/A</v>
      </c>
      <c r="H220" s="20"/>
      <c r="J220" s="3" t="s">
        <v>79</v>
      </c>
      <c r="L220" t="s">
        <v>7</v>
      </c>
      <c r="M220" t="s">
        <v>7</v>
      </c>
      <c r="N220" t="s">
        <v>9</v>
      </c>
      <c r="O220" t="e">
        <f>#REF!*D220</f>
        <v>#REF!</v>
      </c>
    </row>
    <row r="221" spans="2:15" ht="75" x14ac:dyDescent="0.25">
      <c r="B221" t="e">
        <f>VLOOKUP(#REF!,Лист1!$B$1:$J$82,2,0)</f>
        <v>#REF!</v>
      </c>
      <c r="C221" t="e">
        <f>VLOOKUP(A221,Лист1!$B$1:$Q$28,5,0)</f>
        <v>#N/A</v>
      </c>
      <c r="E221" s="25" t="e">
        <f>VLOOKUP(A221,Лист1!$B$1:$Q$28,3,0)</f>
        <v>#N/A</v>
      </c>
      <c r="F221" s="25"/>
      <c r="G221" t="e">
        <f>VLOOKUP(A221,Лист1!$B$1:$Q$28,4,0)</f>
        <v>#N/A</v>
      </c>
      <c r="H221" s="20"/>
      <c r="J221" s="3" t="s">
        <v>79</v>
      </c>
      <c r="L221" t="s">
        <v>7</v>
      </c>
      <c r="M221" t="s">
        <v>7</v>
      </c>
      <c r="N221" t="s">
        <v>9</v>
      </c>
      <c r="O221" t="e">
        <f>#REF!*D221</f>
        <v>#REF!</v>
      </c>
    </row>
    <row r="222" spans="2:15" ht="75" x14ac:dyDescent="0.25">
      <c r="B222" t="e">
        <f>VLOOKUP(#REF!,Лист1!$B$1:$J$82,2,0)</f>
        <v>#REF!</v>
      </c>
      <c r="C222" t="e">
        <f>VLOOKUP(A222,Лист1!$B$1:$Q$28,5,0)</f>
        <v>#N/A</v>
      </c>
      <c r="E222" s="25" t="e">
        <f>VLOOKUP(A222,Лист1!$B$1:$Q$28,3,0)</f>
        <v>#N/A</v>
      </c>
      <c r="F222" s="25"/>
      <c r="G222" t="e">
        <f>VLOOKUP(A222,Лист1!$B$1:$Q$28,4,0)</f>
        <v>#N/A</v>
      </c>
      <c r="H222" s="20"/>
      <c r="J222" s="3" t="s">
        <v>79</v>
      </c>
      <c r="L222" t="s">
        <v>7</v>
      </c>
      <c r="M222" t="s">
        <v>7</v>
      </c>
      <c r="N222" t="s">
        <v>9</v>
      </c>
      <c r="O222" t="e">
        <f>#REF!*D222</f>
        <v>#REF!</v>
      </c>
    </row>
    <row r="223" spans="2:15" ht="75" x14ac:dyDescent="0.25">
      <c r="B223" t="e">
        <f>VLOOKUP(#REF!,Лист1!$B$1:$J$82,2,0)</f>
        <v>#REF!</v>
      </c>
      <c r="C223" t="e">
        <f>VLOOKUP(A223,Лист1!$B$1:$Q$28,5,0)</f>
        <v>#N/A</v>
      </c>
      <c r="E223" s="25" t="e">
        <f>VLOOKUP(A223,Лист1!$B$1:$Q$28,3,0)</f>
        <v>#N/A</v>
      </c>
      <c r="F223" s="25"/>
      <c r="G223" t="e">
        <f>VLOOKUP(A223,Лист1!$B$1:$Q$28,4,0)</f>
        <v>#N/A</v>
      </c>
      <c r="H223" s="20"/>
      <c r="J223" s="3" t="s">
        <v>79</v>
      </c>
      <c r="L223" t="s">
        <v>7</v>
      </c>
      <c r="M223" t="s">
        <v>7</v>
      </c>
      <c r="N223" t="s">
        <v>9</v>
      </c>
      <c r="O223" t="e">
        <f>#REF!*D223</f>
        <v>#REF!</v>
      </c>
    </row>
    <row r="224" spans="2:15" ht="75" x14ac:dyDescent="0.25">
      <c r="B224" t="e">
        <f>VLOOKUP(#REF!,Лист1!$B$1:$J$82,2,0)</f>
        <v>#REF!</v>
      </c>
      <c r="C224" t="e">
        <f>VLOOKUP(A224,Лист1!$B$1:$Q$28,5,0)</f>
        <v>#N/A</v>
      </c>
      <c r="E224" s="25" t="e">
        <f>VLOOKUP(A224,Лист1!$B$1:$Q$28,3,0)</f>
        <v>#N/A</v>
      </c>
      <c r="F224" s="25"/>
      <c r="G224" t="e">
        <f>VLOOKUP(A224,Лист1!$B$1:$Q$28,4,0)</f>
        <v>#N/A</v>
      </c>
      <c r="H224" s="20"/>
      <c r="J224" s="3" t="s">
        <v>79</v>
      </c>
      <c r="L224" t="s">
        <v>7</v>
      </c>
      <c r="M224" t="s">
        <v>7</v>
      </c>
      <c r="N224" t="s">
        <v>9</v>
      </c>
      <c r="O224" t="e">
        <f>#REF!*D224</f>
        <v>#REF!</v>
      </c>
    </row>
    <row r="225" spans="2:15" ht="75" x14ac:dyDescent="0.25">
      <c r="B225" t="e">
        <f>VLOOKUP(#REF!,Лист1!$B$1:$J$82,2,0)</f>
        <v>#REF!</v>
      </c>
      <c r="C225" t="e">
        <f>VLOOKUP(A225,Лист1!$B$1:$Q$28,5,0)</f>
        <v>#N/A</v>
      </c>
      <c r="E225" s="25" t="e">
        <f>VLOOKUP(A225,Лист1!$B$1:$Q$28,3,0)</f>
        <v>#N/A</v>
      </c>
      <c r="F225" s="25"/>
      <c r="G225" t="e">
        <f>VLOOKUP(A225,Лист1!$B$1:$Q$28,4,0)</f>
        <v>#N/A</v>
      </c>
      <c r="H225" s="20"/>
      <c r="J225" s="3" t="s">
        <v>79</v>
      </c>
      <c r="L225" t="s">
        <v>7</v>
      </c>
      <c r="M225" t="s">
        <v>7</v>
      </c>
      <c r="N225" t="s">
        <v>9</v>
      </c>
      <c r="O225" t="e">
        <f>#REF!*D225</f>
        <v>#REF!</v>
      </c>
    </row>
    <row r="226" spans="2:15" ht="75" x14ac:dyDescent="0.25">
      <c r="B226" t="e">
        <f>VLOOKUP(#REF!,Лист1!$B$1:$J$82,2,0)</f>
        <v>#REF!</v>
      </c>
      <c r="C226" t="e">
        <f>VLOOKUP(A226,Лист1!$B$1:$Q$28,5,0)</f>
        <v>#N/A</v>
      </c>
      <c r="E226" s="25" t="e">
        <f>VLOOKUP(A226,Лист1!$B$1:$Q$28,3,0)</f>
        <v>#N/A</v>
      </c>
      <c r="F226" s="25"/>
      <c r="G226" t="e">
        <f>VLOOKUP(A226,Лист1!$B$1:$Q$28,4,0)</f>
        <v>#N/A</v>
      </c>
      <c r="H226" s="20"/>
      <c r="J226" s="3" t="s">
        <v>79</v>
      </c>
      <c r="L226" t="s">
        <v>7</v>
      </c>
      <c r="M226" t="s">
        <v>7</v>
      </c>
      <c r="N226" t="s">
        <v>9</v>
      </c>
      <c r="O226" t="e">
        <f>#REF!*D226</f>
        <v>#REF!</v>
      </c>
    </row>
    <row r="227" spans="2:15" ht="75" x14ac:dyDescent="0.25">
      <c r="B227" t="e">
        <f>VLOOKUP(#REF!,Лист1!$B$1:$J$82,2,0)</f>
        <v>#REF!</v>
      </c>
      <c r="C227" t="e">
        <f>VLOOKUP(A227,Лист1!$B$1:$Q$28,5,0)</f>
        <v>#N/A</v>
      </c>
      <c r="E227" s="25" t="e">
        <f>VLOOKUP(A227,Лист1!$B$1:$Q$28,3,0)</f>
        <v>#N/A</v>
      </c>
      <c r="F227" s="25"/>
      <c r="G227" t="e">
        <f>VLOOKUP(A227,Лист1!$B$1:$Q$28,4,0)</f>
        <v>#N/A</v>
      </c>
      <c r="H227" s="20"/>
      <c r="J227" s="3" t="s">
        <v>79</v>
      </c>
      <c r="L227" t="s">
        <v>7</v>
      </c>
      <c r="M227" t="s">
        <v>7</v>
      </c>
      <c r="N227" t="s">
        <v>9</v>
      </c>
      <c r="O227" t="e">
        <f>#REF!*D227</f>
        <v>#REF!</v>
      </c>
    </row>
    <row r="228" spans="2:15" ht="75" x14ac:dyDescent="0.25">
      <c r="B228" t="e">
        <f>VLOOKUP(#REF!,Лист1!$B$1:$J$82,2,0)</f>
        <v>#REF!</v>
      </c>
      <c r="C228" t="e">
        <f>VLOOKUP(A228,Лист1!$B$1:$Q$28,5,0)</f>
        <v>#N/A</v>
      </c>
      <c r="E228" s="25" t="e">
        <f>VLOOKUP(A228,Лист1!$B$1:$Q$28,3,0)</f>
        <v>#N/A</v>
      </c>
      <c r="F228" s="25"/>
      <c r="G228" t="e">
        <f>VLOOKUP(A228,Лист1!$B$1:$Q$28,4,0)</f>
        <v>#N/A</v>
      </c>
      <c r="H228" s="20"/>
      <c r="J228" s="3" t="s">
        <v>79</v>
      </c>
      <c r="L228" t="s">
        <v>7</v>
      </c>
      <c r="M228" t="s">
        <v>7</v>
      </c>
      <c r="N228" t="s">
        <v>9</v>
      </c>
      <c r="O228" t="e">
        <f>#REF!*D228</f>
        <v>#REF!</v>
      </c>
    </row>
    <row r="229" spans="2:15" ht="75" x14ac:dyDescent="0.25">
      <c r="B229" t="e">
        <f>VLOOKUP(#REF!,Лист1!$B$1:$J$82,2,0)</f>
        <v>#REF!</v>
      </c>
      <c r="C229" t="e">
        <f>VLOOKUP(A229,Лист1!$B$1:$Q$28,5,0)</f>
        <v>#N/A</v>
      </c>
      <c r="E229" s="25" t="e">
        <f>VLOOKUP(A229,Лист1!$B$1:$Q$28,3,0)</f>
        <v>#N/A</v>
      </c>
      <c r="F229" s="25"/>
      <c r="G229" t="e">
        <f>VLOOKUP(A229,Лист1!$B$1:$Q$28,4,0)</f>
        <v>#N/A</v>
      </c>
      <c r="H229" s="20"/>
      <c r="J229" s="3" t="s">
        <v>79</v>
      </c>
      <c r="L229" t="s">
        <v>7</v>
      </c>
      <c r="M229" t="s">
        <v>7</v>
      </c>
      <c r="N229" t="s">
        <v>9</v>
      </c>
      <c r="O229" t="e">
        <f>#REF!*D229</f>
        <v>#REF!</v>
      </c>
    </row>
    <row r="230" spans="2:15" ht="75" x14ac:dyDescent="0.25">
      <c r="B230" t="e">
        <f>VLOOKUP(#REF!,Лист1!$B$1:$J$82,2,0)</f>
        <v>#REF!</v>
      </c>
      <c r="C230" t="e">
        <f>VLOOKUP(A230,Лист1!$B$1:$Q$28,5,0)</f>
        <v>#N/A</v>
      </c>
      <c r="E230" s="25" t="e">
        <f>VLOOKUP(A230,Лист1!$B$1:$Q$28,3,0)</f>
        <v>#N/A</v>
      </c>
      <c r="F230" s="25"/>
      <c r="G230" t="e">
        <f>VLOOKUP(A230,Лист1!$B$1:$Q$28,4,0)</f>
        <v>#N/A</v>
      </c>
      <c r="H230" s="20"/>
      <c r="J230" s="3" t="s">
        <v>79</v>
      </c>
      <c r="N230" t="s">
        <v>9</v>
      </c>
      <c r="O230" t="e">
        <f>#REF!*D230</f>
        <v>#REF!</v>
      </c>
    </row>
    <row r="231" spans="2:15" ht="75" x14ac:dyDescent="0.25">
      <c r="B231" t="e">
        <f>VLOOKUP(#REF!,Лист1!$B$1:$J$82,2,0)</f>
        <v>#REF!</v>
      </c>
      <c r="C231" t="e">
        <f>VLOOKUP(A231,Лист1!$B$1:$Q$28,5,0)</f>
        <v>#N/A</v>
      </c>
      <c r="E231" s="25" t="e">
        <f>VLOOKUP(A231,Лист1!$B$1:$Q$28,3,0)</f>
        <v>#N/A</v>
      </c>
      <c r="F231" s="25"/>
      <c r="G231" t="e">
        <f>VLOOKUP(A231,Лист1!$B$1:$Q$28,4,0)</f>
        <v>#N/A</v>
      </c>
      <c r="H231" s="20"/>
      <c r="J231" s="3" t="s">
        <v>79</v>
      </c>
      <c r="N231" t="s">
        <v>9</v>
      </c>
      <c r="O231" t="e">
        <f>#REF!*D231</f>
        <v>#REF!</v>
      </c>
    </row>
    <row r="232" spans="2:15" ht="75" x14ac:dyDescent="0.25">
      <c r="B232" t="e">
        <f>VLOOKUP(#REF!,Лист1!$B$1:$J$82,2,0)</f>
        <v>#REF!</v>
      </c>
      <c r="C232" t="e">
        <f>VLOOKUP(A232,Лист1!$B$1:$Q$28,5,0)</f>
        <v>#N/A</v>
      </c>
      <c r="E232" s="25" t="e">
        <f>VLOOKUP(A232,Лист1!$B$1:$Q$28,3,0)</f>
        <v>#N/A</v>
      </c>
      <c r="F232" s="25"/>
      <c r="G232" t="e">
        <f>VLOOKUP(A232,Лист1!$B$1:$Q$28,4,0)</f>
        <v>#N/A</v>
      </c>
      <c r="H232" s="20"/>
      <c r="J232" s="3" t="s">
        <v>79</v>
      </c>
      <c r="N232" t="s">
        <v>9</v>
      </c>
      <c r="O232" t="e">
        <f>#REF!*D232</f>
        <v>#REF!</v>
      </c>
    </row>
    <row r="233" spans="2:15" ht="75" x14ac:dyDescent="0.25">
      <c r="B233" t="e">
        <f>VLOOKUP(#REF!,Лист1!$B$1:$J$82,2,0)</f>
        <v>#REF!</v>
      </c>
      <c r="C233" t="e">
        <f>VLOOKUP(A233,Лист1!$B$1:$Q$28,5,0)</f>
        <v>#N/A</v>
      </c>
      <c r="E233" s="25" t="e">
        <f>VLOOKUP(A233,Лист1!$B$1:$Q$28,3,0)</f>
        <v>#N/A</v>
      </c>
      <c r="F233" s="25"/>
      <c r="G233" t="e">
        <f>VLOOKUP(A233,Лист1!$B$1:$Q$28,4,0)</f>
        <v>#N/A</v>
      </c>
      <c r="H233" s="20"/>
      <c r="J233" s="3" t="s">
        <v>79</v>
      </c>
      <c r="N233" t="s">
        <v>9</v>
      </c>
      <c r="O233" t="e">
        <f>#REF!*D233</f>
        <v>#REF!</v>
      </c>
    </row>
    <row r="234" spans="2:15" ht="75" x14ac:dyDescent="0.25">
      <c r="B234" t="e">
        <f>VLOOKUP(#REF!,Лист1!$B$1:$J$82,2,0)</f>
        <v>#REF!</v>
      </c>
      <c r="C234" t="e">
        <f>VLOOKUP(A234,Лист1!$B$1:$Q$28,5,0)</f>
        <v>#N/A</v>
      </c>
      <c r="E234" s="25" t="e">
        <f>VLOOKUP(A234,Лист1!$B$1:$Q$28,3,0)</f>
        <v>#N/A</v>
      </c>
      <c r="F234" s="25"/>
      <c r="G234" t="e">
        <f>VLOOKUP(A234,Лист1!$B$1:$Q$28,4,0)</f>
        <v>#N/A</v>
      </c>
      <c r="H234" s="20"/>
      <c r="J234" s="3" t="s">
        <v>79</v>
      </c>
      <c r="N234" t="s">
        <v>9</v>
      </c>
      <c r="O234" t="e">
        <f>#REF!*D234</f>
        <v>#REF!</v>
      </c>
    </row>
    <row r="235" spans="2:15" ht="75" x14ac:dyDescent="0.25">
      <c r="B235" t="e">
        <f>VLOOKUP(#REF!,Лист1!$B$1:$J$82,2,0)</f>
        <v>#REF!</v>
      </c>
      <c r="C235" t="e">
        <f>VLOOKUP(A235,Лист1!$B$1:$Q$28,5,0)</f>
        <v>#N/A</v>
      </c>
      <c r="E235" s="25" t="e">
        <f>VLOOKUP(A235,Лист1!$B$1:$Q$28,3,0)</f>
        <v>#N/A</v>
      </c>
      <c r="F235" s="25"/>
      <c r="G235" t="e">
        <f>VLOOKUP(A235,Лист1!$B$1:$Q$28,4,0)</f>
        <v>#N/A</v>
      </c>
      <c r="H235" s="20"/>
      <c r="J235" s="3" t="s">
        <v>79</v>
      </c>
      <c r="N235" t="s">
        <v>9</v>
      </c>
      <c r="O235" t="e">
        <f>#REF!*D235</f>
        <v>#REF!</v>
      </c>
    </row>
    <row r="236" spans="2:15" ht="75" x14ac:dyDescent="0.25">
      <c r="B236" t="e">
        <f>VLOOKUP(#REF!,Лист1!$B$1:$J$82,2,0)</f>
        <v>#REF!</v>
      </c>
      <c r="C236" t="e">
        <f>VLOOKUP(A236,Лист1!$B$1:$Q$28,5,0)</f>
        <v>#N/A</v>
      </c>
      <c r="E236" s="25" t="e">
        <f>VLOOKUP(A236,Лист1!$B$1:$Q$28,3,0)</f>
        <v>#N/A</v>
      </c>
      <c r="F236" s="25"/>
      <c r="G236" t="e">
        <f>VLOOKUP(A236,Лист1!$B$1:$Q$28,4,0)</f>
        <v>#N/A</v>
      </c>
      <c r="H236" s="20"/>
      <c r="J236" s="3" t="s">
        <v>79</v>
      </c>
      <c r="N236" t="s">
        <v>9</v>
      </c>
      <c r="O236" t="e">
        <f>#REF!*D236</f>
        <v>#REF!</v>
      </c>
    </row>
    <row r="237" spans="2:15" ht="75" x14ac:dyDescent="0.25">
      <c r="B237" t="e">
        <f>VLOOKUP(#REF!,Лист1!$B$1:$J$82,2,0)</f>
        <v>#REF!</v>
      </c>
      <c r="C237" t="e">
        <f>VLOOKUP(A237,Лист1!$B$1:$Q$28,5,0)</f>
        <v>#N/A</v>
      </c>
      <c r="E237" s="25" t="e">
        <f>VLOOKUP(A237,Лист1!$B$1:$Q$28,3,0)</f>
        <v>#N/A</v>
      </c>
      <c r="F237" s="25"/>
      <c r="G237" t="e">
        <f>VLOOKUP(A237,Лист1!$B$1:$Q$28,4,0)</f>
        <v>#N/A</v>
      </c>
      <c r="H237" s="20"/>
      <c r="J237" s="3" t="s">
        <v>79</v>
      </c>
      <c r="N237" t="s">
        <v>9</v>
      </c>
      <c r="O237" t="e">
        <f>#REF!*D237</f>
        <v>#REF!</v>
      </c>
    </row>
    <row r="238" spans="2:15" ht="75" x14ac:dyDescent="0.25">
      <c r="B238" t="e">
        <f>VLOOKUP(#REF!,Лист1!$B$1:$J$82,2,0)</f>
        <v>#REF!</v>
      </c>
      <c r="C238" t="e">
        <f>VLOOKUP(A238,Лист1!$B$1:$Q$28,5,0)</f>
        <v>#N/A</v>
      </c>
      <c r="E238" s="25" t="e">
        <f>VLOOKUP(A238,Лист1!$B$1:$Q$28,3,0)</f>
        <v>#N/A</v>
      </c>
      <c r="F238" s="25"/>
      <c r="G238" t="e">
        <f>VLOOKUP(A238,Лист1!$B$1:$Q$28,4,0)</f>
        <v>#N/A</v>
      </c>
      <c r="H238" s="20"/>
      <c r="J238" s="3" t="s">
        <v>79</v>
      </c>
      <c r="N238" t="s">
        <v>9</v>
      </c>
      <c r="O238" t="e">
        <f>#REF!*D238</f>
        <v>#REF!</v>
      </c>
    </row>
    <row r="239" spans="2:15" ht="75" x14ac:dyDescent="0.25">
      <c r="B239" t="e">
        <f>VLOOKUP(#REF!,Лист1!$B$1:$J$82,2,0)</f>
        <v>#REF!</v>
      </c>
      <c r="C239" t="e">
        <f>VLOOKUP(A239,Лист1!$B$1:$Q$28,5,0)</f>
        <v>#N/A</v>
      </c>
      <c r="E239" s="25" t="e">
        <f>VLOOKUP(A239,Лист1!$B$1:$Q$28,3,0)</f>
        <v>#N/A</v>
      </c>
      <c r="F239" s="25"/>
      <c r="G239" t="e">
        <f>VLOOKUP(A239,Лист1!$B$1:$Q$28,4,0)</f>
        <v>#N/A</v>
      </c>
      <c r="H239" s="20"/>
      <c r="J239" s="3" t="s">
        <v>79</v>
      </c>
      <c r="N239" t="s">
        <v>9</v>
      </c>
      <c r="O239" t="e">
        <f>#REF!*D239</f>
        <v>#REF!</v>
      </c>
    </row>
    <row r="240" spans="2:15" ht="75" x14ac:dyDescent="0.25">
      <c r="B240" t="e">
        <f>VLOOKUP(#REF!,Лист1!$B$1:$J$82,2,0)</f>
        <v>#REF!</v>
      </c>
      <c r="C240" t="e">
        <f>VLOOKUP(A240,Лист1!$B$1:$Q$28,5,0)</f>
        <v>#N/A</v>
      </c>
      <c r="E240" s="25" t="e">
        <f>VLOOKUP(A240,Лист1!$B$1:$Q$28,3,0)</f>
        <v>#N/A</v>
      </c>
      <c r="F240" s="25"/>
      <c r="G240" t="e">
        <f>VLOOKUP(A240,Лист1!$B$1:$Q$28,4,0)</f>
        <v>#N/A</v>
      </c>
      <c r="H240" s="20"/>
      <c r="J240" s="3" t="s">
        <v>79</v>
      </c>
      <c r="N240" t="s">
        <v>9</v>
      </c>
      <c r="O240" t="e">
        <f>#REF!*D240</f>
        <v>#REF!</v>
      </c>
    </row>
    <row r="241" spans="2:15" ht="75" x14ac:dyDescent="0.25">
      <c r="B241" t="e">
        <f>VLOOKUP(#REF!,Лист1!$B$1:$J$82,2,0)</f>
        <v>#REF!</v>
      </c>
      <c r="C241" t="e">
        <f>VLOOKUP(A241,Лист1!$B$1:$Q$28,5,0)</f>
        <v>#N/A</v>
      </c>
      <c r="E241" s="25" t="e">
        <f>VLOOKUP(A241,Лист1!$B$1:$Q$28,3,0)</f>
        <v>#N/A</v>
      </c>
      <c r="F241" s="25"/>
      <c r="G241" t="e">
        <f>VLOOKUP(A241,Лист1!$B$1:$Q$28,4,0)</f>
        <v>#N/A</v>
      </c>
      <c r="H241" s="20"/>
      <c r="J241" s="3" t="s">
        <v>79</v>
      </c>
      <c r="N241" t="s">
        <v>9</v>
      </c>
      <c r="O241" t="e">
        <f>#REF!*D241</f>
        <v>#REF!</v>
      </c>
    </row>
    <row r="242" spans="2:15" ht="75" x14ac:dyDescent="0.25">
      <c r="B242" t="e">
        <f>VLOOKUP(#REF!,Лист1!$B$1:$J$82,2,0)</f>
        <v>#REF!</v>
      </c>
      <c r="C242" t="e">
        <f>VLOOKUP(A242,Лист1!$B$1:$Q$28,5,0)</f>
        <v>#N/A</v>
      </c>
      <c r="E242" s="25" t="e">
        <f>VLOOKUP(A242,Лист1!$B$1:$Q$28,3,0)</f>
        <v>#N/A</v>
      </c>
      <c r="F242" s="25"/>
      <c r="G242" t="e">
        <f>VLOOKUP(A242,Лист1!$B$1:$Q$28,4,0)</f>
        <v>#N/A</v>
      </c>
      <c r="H242" s="20"/>
      <c r="J242" s="3" t="s">
        <v>79</v>
      </c>
      <c r="N242" t="s">
        <v>9</v>
      </c>
      <c r="O242" t="e">
        <f>#REF!*D242</f>
        <v>#REF!</v>
      </c>
    </row>
    <row r="243" spans="2:15" ht="75" x14ac:dyDescent="0.25">
      <c r="B243" t="e">
        <f>VLOOKUP(#REF!,Лист1!$B$1:$J$82,2,0)</f>
        <v>#REF!</v>
      </c>
      <c r="C243" t="e">
        <f>VLOOKUP(A243,Лист1!$B$1:$Q$28,5,0)</f>
        <v>#N/A</v>
      </c>
      <c r="E243" s="25" t="e">
        <f>VLOOKUP(A243,Лист1!$B$1:$Q$28,3,0)</f>
        <v>#N/A</v>
      </c>
      <c r="F243" s="25"/>
      <c r="G243" t="e">
        <f>VLOOKUP(A243,Лист1!$B$1:$Q$28,4,0)</f>
        <v>#N/A</v>
      </c>
      <c r="H243" s="20"/>
      <c r="J243" s="3" t="s">
        <v>79</v>
      </c>
      <c r="N243" t="s">
        <v>9</v>
      </c>
      <c r="O243" t="e">
        <f>#REF!*D243</f>
        <v>#REF!</v>
      </c>
    </row>
    <row r="244" spans="2:15" ht="75" x14ac:dyDescent="0.25">
      <c r="B244" t="e">
        <f>VLOOKUP(#REF!,Лист1!$B$1:$J$82,2,0)</f>
        <v>#REF!</v>
      </c>
      <c r="C244" t="e">
        <f>VLOOKUP(A244,Лист1!$B$1:$Q$28,5,0)</f>
        <v>#N/A</v>
      </c>
      <c r="E244" s="25" t="e">
        <f>VLOOKUP(A244,Лист1!$B$1:$Q$28,3,0)</f>
        <v>#N/A</v>
      </c>
      <c r="F244" s="25"/>
      <c r="G244" t="e">
        <f>VLOOKUP(A244,Лист1!$B$1:$Q$28,4,0)</f>
        <v>#N/A</v>
      </c>
      <c r="H244" s="20"/>
      <c r="J244" s="3" t="s">
        <v>79</v>
      </c>
      <c r="N244" t="s">
        <v>9</v>
      </c>
      <c r="O244" t="e">
        <f>#REF!*D244</f>
        <v>#REF!</v>
      </c>
    </row>
    <row r="245" spans="2:15" ht="75" x14ac:dyDescent="0.25">
      <c r="B245" t="e">
        <f>VLOOKUP(#REF!,Лист1!$B$1:$J$82,2,0)</f>
        <v>#REF!</v>
      </c>
      <c r="C245" t="e">
        <f>VLOOKUP(A245,Лист1!$B$1:$Q$28,5,0)</f>
        <v>#N/A</v>
      </c>
      <c r="E245" s="25" t="e">
        <f>VLOOKUP(A245,Лист1!$B$1:$Q$28,3,0)</f>
        <v>#N/A</v>
      </c>
      <c r="F245" s="25"/>
      <c r="G245" t="e">
        <f>VLOOKUP(A245,Лист1!$B$1:$Q$28,4,0)</f>
        <v>#N/A</v>
      </c>
      <c r="H245" s="20"/>
      <c r="J245" s="3" t="s">
        <v>79</v>
      </c>
      <c r="N245" t="s">
        <v>9</v>
      </c>
      <c r="O245" t="e">
        <f>#REF!*D245</f>
        <v>#REF!</v>
      </c>
    </row>
    <row r="246" spans="2:15" ht="75" x14ac:dyDescent="0.25">
      <c r="B246" t="e">
        <f>VLOOKUP(#REF!,Лист1!$B$1:$J$82,2,0)</f>
        <v>#REF!</v>
      </c>
      <c r="C246" t="e">
        <f>VLOOKUP(A246,Лист1!$B$1:$Q$28,5,0)</f>
        <v>#N/A</v>
      </c>
      <c r="E246" s="25" t="e">
        <f>VLOOKUP(A246,Лист1!$B$1:$Q$28,3,0)</f>
        <v>#N/A</v>
      </c>
      <c r="F246" s="25"/>
      <c r="G246" t="e">
        <f>VLOOKUP(A246,Лист1!$B$1:$Q$28,4,0)</f>
        <v>#N/A</v>
      </c>
      <c r="H246" s="20"/>
      <c r="J246" s="3" t="s">
        <v>79</v>
      </c>
      <c r="N246" t="s">
        <v>9</v>
      </c>
      <c r="O246" t="e">
        <f>#REF!*D246</f>
        <v>#REF!</v>
      </c>
    </row>
    <row r="247" spans="2:15" ht="75" x14ac:dyDescent="0.25">
      <c r="B247" t="e">
        <f>VLOOKUP(#REF!,Лист1!$B$1:$J$82,2,0)</f>
        <v>#REF!</v>
      </c>
      <c r="C247" t="e">
        <f>VLOOKUP(A247,Лист1!$B$1:$Q$28,5,0)</f>
        <v>#N/A</v>
      </c>
      <c r="E247" s="25" t="e">
        <f>VLOOKUP(A247,Лист1!$B$1:$Q$28,3,0)</f>
        <v>#N/A</v>
      </c>
      <c r="F247" s="25"/>
      <c r="G247" t="e">
        <f>VLOOKUP(A247,Лист1!$B$1:$Q$28,4,0)</f>
        <v>#N/A</v>
      </c>
      <c r="H247" s="20"/>
      <c r="J247" s="3" t="s">
        <v>79</v>
      </c>
      <c r="N247" t="s">
        <v>9</v>
      </c>
      <c r="O247" t="e">
        <f>#REF!*D247</f>
        <v>#REF!</v>
      </c>
    </row>
    <row r="248" spans="2:15" ht="75" x14ac:dyDescent="0.25">
      <c r="B248" t="e">
        <f>VLOOKUP(#REF!,Лист1!$B$1:$J$82,2,0)</f>
        <v>#REF!</v>
      </c>
      <c r="C248" t="e">
        <f>VLOOKUP(A248,Лист1!$B$1:$Q$28,5,0)</f>
        <v>#N/A</v>
      </c>
      <c r="E248" s="25" t="e">
        <f>VLOOKUP(A248,Лист1!$B$1:$Q$28,3,0)</f>
        <v>#N/A</v>
      </c>
      <c r="F248" s="25"/>
      <c r="G248" t="e">
        <f>VLOOKUP(A248,Лист1!$B$1:$Q$28,4,0)</f>
        <v>#N/A</v>
      </c>
      <c r="H248" s="20"/>
      <c r="J248" s="3" t="s">
        <v>79</v>
      </c>
      <c r="N248" t="s">
        <v>9</v>
      </c>
      <c r="O248" t="e">
        <f>#REF!*D248</f>
        <v>#REF!</v>
      </c>
    </row>
    <row r="249" spans="2:15" ht="75" x14ac:dyDescent="0.25">
      <c r="B249" t="e">
        <f>VLOOKUP(#REF!,Лист1!$B$1:$J$82,2,0)</f>
        <v>#REF!</v>
      </c>
      <c r="C249" t="e">
        <f>VLOOKUP(A249,Лист1!$B$1:$Q$28,5,0)</f>
        <v>#N/A</v>
      </c>
      <c r="E249" s="25" t="e">
        <f>VLOOKUP(A249,Лист1!$B$1:$Q$28,3,0)</f>
        <v>#N/A</v>
      </c>
      <c r="F249" s="25"/>
      <c r="G249" t="e">
        <f>VLOOKUP(A249,Лист1!$B$1:$Q$28,4,0)</f>
        <v>#N/A</v>
      </c>
      <c r="H249" s="20"/>
      <c r="J249" s="3" t="s">
        <v>79</v>
      </c>
      <c r="N249" t="s">
        <v>9</v>
      </c>
      <c r="O249" t="e">
        <f>#REF!*D249</f>
        <v>#REF!</v>
      </c>
    </row>
    <row r="250" spans="2:15" ht="75" x14ac:dyDescent="0.25">
      <c r="B250" t="e">
        <f>VLOOKUP(#REF!,Лист1!$B$1:$J$82,2,0)</f>
        <v>#REF!</v>
      </c>
      <c r="C250" t="e">
        <f>VLOOKUP(A250,Лист1!$B$1:$Q$28,5,0)</f>
        <v>#N/A</v>
      </c>
      <c r="E250" s="25" t="e">
        <f>VLOOKUP(A250,Лист1!$B$1:$Q$28,3,0)</f>
        <v>#N/A</v>
      </c>
      <c r="F250" s="25"/>
      <c r="G250" t="e">
        <f>VLOOKUP(#REF!,Лист1!$B$1:$J$82,4,0)</f>
        <v>#REF!</v>
      </c>
      <c r="H250" s="20"/>
      <c r="J250" s="3" t="s">
        <v>79</v>
      </c>
      <c r="N250" t="s">
        <v>9</v>
      </c>
      <c r="O250" t="e">
        <f>#REF!*D250</f>
        <v>#REF!</v>
      </c>
    </row>
    <row r="251" spans="2:15" ht="75" x14ac:dyDescent="0.25">
      <c r="B251" t="e">
        <f>VLOOKUP(#REF!,Лист1!$B$1:$J$82,2,0)</f>
        <v>#REF!</v>
      </c>
      <c r="C251" t="e">
        <f>VLOOKUP(A251,Лист1!$B$1:$Q$28,5,0)</f>
        <v>#N/A</v>
      </c>
      <c r="E251" s="25" t="e">
        <f>VLOOKUP(A251,Лист1!$B$1:$Q$28,3,0)</f>
        <v>#N/A</v>
      </c>
      <c r="F251" s="25"/>
      <c r="G251" t="e">
        <f>VLOOKUP(#REF!,Лист1!$B$1:$J$82,4,0)</f>
        <v>#REF!</v>
      </c>
      <c r="H251" s="20"/>
      <c r="J251" s="3" t="s">
        <v>79</v>
      </c>
      <c r="N251" t="s">
        <v>9</v>
      </c>
      <c r="O251" t="e">
        <f>#REF!*D251</f>
        <v>#REF!</v>
      </c>
    </row>
    <row r="252" spans="2:15" ht="75" x14ac:dyDescent="0.25">
      <c r="B252" t="e">
        <f>VLOOKUP(#REF!,Лист1!$B$1:$J$82,2,0)</f>
        <v>#REF!</v>
      </c>
      <c r="C252" t="e">
        <f>VLOOKUP(A252,Лист1!$B$1:$Q$28,5,0)</f>
        <v>#N/A</v>
      </c>
      <c r="E252" s="25" t="e">
        <f>VLOOKUP(A252,Лист1!$B$1:$Q$28,3,0)</f>
        <v>#N/A</v>
      </c>
      <c r="F252" s="25"/>
      <c r="G252" t="e">
        <f>VLOOKUP(#REF!,Лист1!$B$1:$J$82,4,0)</f>
        <v>#REF!</v>
      </c>
      <c r="H252" s="20"/>
      <c r="J252" s="3" t="s">
        <v>79</v>
      </c>
      <c r="N252" t="s">
        <v>9</v>
      </c>
      <c r="O252" t="e">
        <f>#REF!*D252</f>
        <v>#REF!</v>
      </c>
    </row>
    <row r="253" spans="2:15" ht="75" x14ac:dyDescent="0.25">
      <c r="B253" t="e">
        <f>VLOOKUP(#REF!,Лист1!$B$1:$J$82,2,0)</f>
        <v>#REF!</v>
      </c>
      <c r="C253" t="e">
        <f>VLOOKUP(A253,Лист1!$B$1:$Q$28,5,0)</f>
        <v>#N/A</v>
      </c>
      <c r="E253" s="25" t="e">
        <f>VLOOKUP(A253,Лист1!$B$1:$Q$28,3,0)</f>
        <v>#N/A</v>
      </c>
      <c r="F253" s="25"/>
      <c r="G253" t="e">
        <f>VLOOKUP(#REF!,Лист1!$B$1:$J$82,4,0)</f>
        <v>#REF!</v>
      </c>
      <c r="H253" s="20"/>
      <c r="J253" s="3" t="s">
        <v>79</v>
      </c>
      <c r="N253" t="s">
        <v>9</v>
      </c>
      <c r="O253" t="e">
        <f>#REF!*D253</f>
        <v>#REF!</v>
      </c>
    </row>
    <row r="254" spans="2:15" ht="75" x14ac:dyDescent="0.25">
      <c r="B254" t="e">
        <f>VLOOKUP(#REF!,Лист1!$B$1:$J$82,2,0)</f>
        <v>#REF!</v>
      </c>
      <c r="C254" t="e">
        <f>VLOOKUP(A254,Лист1!$B$1:$Q$28,5,0)</f>
        <v>#N/A</v>
      </c>
      <c r="E254" s="25" t="e">
        <f>VLOOKUP(A254,Лист1!$B$1:$Q$28,3,0)</f>
        <v>#N/A</v>
      </c>
      <c r="F254" s="25"/>
      <c r="G254" t="e">
        <f>VLOOKUP(#REF!,Лист1!$B$1:$J$82,4,0)</f>
        <v>#REF!</v>
      </c>
      <c r="H254" s="20"/>
      <c r="J254" s="3" t="s">
        <v>79</v>
      </c>
      <c r="N254" t="s">
        <v>9</v>
      </c>
      <c r="O254" t="e">
        <f>#REF!*D254</f>
        <v>#REF!</v>
      </c>
    </row>
    <row r="255" spans="2:15" ht="75" x14ac:dyDescent="0.25">
      <c r="B255" t="e">
        <f>VLOOKUP(#REF!,Лист1!$B$1:$J$82,2,0)</f>
        <v>#REF!</v>
      </c>
      <c r="C255" t="e">
        <f>VLOOKUP(A255,Лист1!$B$1:$Q$28,5,0)</f>
        <v>#N/A</v>
      </c>
      <c r="E255" s="25" t="e">
        <f>VLOOKUP(A255,Лист1!$B$1:$Q$28,3,0)</f>
        <v>#N/A</v>
      </c>
      <c r="F255" s="25"/>
      <c r="G255" t="e">
        <f>VLOOKUP(#REF!,Лист1!$B$1:$J$82,4,0)</f>
        <v>#REF!</v>
      </c>
      <c r="H255" s="20"/>
      <c r="J255" s="3" t="s">
        <v>79</v>
      </c>
      <c r="N255" t="s">
        <v>9</v>
      </c>
      <c r="O255" t="e">
        <f>#REF!*D255</f>
        <v>#REF!</v>
      </c>
    </row>
    <row r="256" spans="2:15" ht="75" x14ac:dyDescent="0.25">
      <c r="B256" t="e">
        <f>VLOOKUP(#REF!,Лист1!$B$1:$J$82,2,0)</f>
        <v>#REF!</v>
      </c>
      <c r="C256" t="e">
        <f>VLOOKUP(A256,Лист1!$B$1:$Q$28,5,0)</f>
        <v>#N/A</v>
      </c>
      <c r="E256" s="25" t="e">
        <f>VLOOKUP(A256,Лист1!$B$1:$Q$28,3,0)</f>
        <v>#N/A</v>
      </c>
      <c r="F256" s="25"/>
      <c r="G256" t="e">
        <f>VLOOKUP(#REF!,Лист1!$B$1:$J$82,4,0)</f>
        <v>#REF!</v>
      </c>
      <c r="H256" s="20"/>
      <c r="J256" s="3" t="s">
        <v>79</v>
      </c>
      <c r="N256" t="s">
        <v>9</v>
      </c>
      <c r="O256" t="e">
        <f>#REF!*D256</f>
        <v>#REF!</v>
      </c>
    </row>
    <row r="257" spans="2:15" ht="75" x14ac:dyDescent="0.25">
      <c r="B257" t="e">
        <f>VLOOKUP(#REF!,Лист1!$B$1:$J$82,2,0)</f>
        <v>#REF!</v>
      </c>
      <c r="C257" t="e">
        <f>VLOOKUP(A257,Лист1!$B$1:$Q$28,5,0)</f>
        <v>#N/A</v>
      </c>
      <c r="E257" s="25" t="e">
        <f>VLOOKUP(A257,Лист1!$B$1:$Q$28,3,0)</f>
        <v>#N/A</v>
      </c>
      <c r="F257" s="25"/>
      <c r="G257" t="e">
        <f>VLOOKUP(#REF!,Лист1!$B$1:$J$82,4,0)</f>
        <v>#REF!</v>
      </c>
      <c r="H257" s="20"/>
      <c r="J257" s="3" t="s">
        <v>79</v>
      </c>
      <c r="N257" t="s">
        <v>9</v>
      </c>
      <c r="O257" t="e">
        <f>#REF!*D257</f>
        <v>#REF!</v>
      </c>
    </row>
    <row r="258" spans="2:15" ht="75" x14ac:dyDescent="0.25">
      <c r="B258" t="e">
        <f>VLOOKUP(#REF!,Лист1!$B$1:$J$82,2,0)</f>
        <v>#REF!</v>
      </c>
      <c r="C258" t="e">
        <f>VLOOKUP(A258,Лист1!$B$1:$Q$28,5,0)</f>
        <v>#N/A</v>
      </c>
      <c r="E258" s="25" t="e">
        <f>VLOOKUP(A258,Лист1!$B$1:$Q$28,3,0)</f>
        <v>#N/A</v>
      </c>
      <c r="F258" s="25"/>
      <c r="G258" t="e">
        <f>VLOOKUP(#REF!,Лист1!$B$1:$J$82,4,0)</f>
        <v>#REF!</v>
      </c>
      <c r="H258" s="20"/>
      <c r="J258" s="3" t="s">
        <v>79</v>
      </c>
      <c r="N258" t="s">
        <v>9</v>
      </c>
      <c r="O258" t="e">
        <f>#REF!*D258</f>
        <v>#REF!</v>
      </c>
    </row>
    <row r="259" spans="2:15" ht="75" x14ac:dyDescent="0.25">
      <c r="B259" t="e">
        <f>VLOOKUP(#REF!,Лист1!$B$1:$J$82,2,0)</f>
        <v>#REF!</v>
      </c>
      <c r="C259" t="e">
        <f>VLOOKUP(A259,Лист1!$B$1:$Q$28,5,0)</f>
        <v>#N/A</v>
      </c>
      <c r="E259" s="25" t="e">
        <f>VLOOKUP(A259,Лист1!$B$1:$Q$28,3,0)</f>
        <v>#N/A</v>
      </c>
      <c r="F259" s="25"/>
      <c r="G259" t="e">
        <f>VLOOKUP(#REF!,Лист1!$B$1:$J$82,4,0)</f>
        <v>#REF!</v>
      </c>
      <c r="H259" s="20"/>
      <c r="J259" s="3" t="s">
        <v>79</v>
      </c>
      <c r="N259" t="s">
        <v>9</v>
      </c>
      <c r="O259" t="e">
        <f>#REF!*D259</f>
        <v>#REF!</v>
      </c>
    </row>
    <row r="260" spans="2:15" ht="75" x14ac:dyDescent="0.25">
      <c r="B260" t="e">
        <f>VLOOKUP(#REF!,Лист1!$B$1:$J$82,2,0)</f>
        <v>#REF!</v>
      </c>
      <c r="C260" t="e">
        <f>VLOOKUP(A260,Лист1!$B$1:$Q$28,5,0)</f>
        <v>#N/A</v>
      </c>
      <c r="E260" s="25" t="e">
        <f>VLOOKUP(A260,Лист1!$B$1:$Q$28,3,0)</f>
        <v>#N/A</v>
      </c>
      <c r="F260" s="25"/>
      <c r="G260" t="e">
        <f>VLOOKUP(#REF!,Лист1!$B$1:$J$82,4,0)</f>
        <v>#REF!</v>
      </c>
      <c r="H260" s="20"/>
      <c r="J260" s="3" t="s">
        <v>79</v>
      </c>
      <c r="N260" t="s">
        <v>9</v>
      </c>
      <c r="O260" t="e">
        <f>#REF!*D260</f>
        <v>#REF!</v>
      </c>
    </row>
    <row r="261" spans="2:15" ht="75" x14ac:dyDescent="0.25">
      <c r="B261" t="e">
        <f>VLOOKUP(#REF!,Лист1!$B$1:$J$82,2,0)</f>
        <v>#REF!</v>
      </c>
      <c r="C261" t="e">
        <f>VLOOKUP(A261,Лист1!$B$1:$Q$28,5,0)</f>
        <v>#N/A</v>
      </c>
      <c r="E261" s="25" t="e">
        <f>VLOOKUP(A261,Лист1!$B$1:$Q$28,3,0)</f>
        <v>#N/A</v>
      </c>
      <c r="F261" s="25"/>
      <c r="G261" t="e">
        <f>VLOOKUP(#REF!,Лист1!$B$1:$J$82,4,0)</f>
        <v>#REF!</v>
      </c>
      <c r="H261" s="20"/>
      <c r="J261" s="3" t="s">
        <v>79</v>
      </c>
      <c r="N261" t="s">
        <v>9</v>
      </c>
      <c r="O261" t="e">
        <f>#REF!*D261</f>
        <v>#REF!</v>
      </c>
    </row>
    <row r="262" spans="2:15" ht="75" x14ac:dyDescent="0.25">
      <c r="B262" t="e">
        <f>VLOOKUP(#REF!,Лист1!$B$1:$J$82,2,0)</f>
        <v>#REF!</v>
      </c>
      <c r="C262" t="e">
        <f>VLOOKUP(A262,Лист1!$B$1:$Q$28,5,0)</f>
        <v>#N/A</v>
      </c>
      <c r="E262" s="25" t="e">
        <f>VLOOKUP(A262,Лист1!$B$1:$Q$28,3,0)</f>
        <v>#N/A</v>
      </c>
      <c r="F262" s="25"/>
      <c r="G262" t="e">
        <f>VLOOKUP(#REF!,Лист1!$B$1:$J$82,4,0)</f>
        <v>#REF!</v>
      </c>
      <c r="H262" s="20"/>
      <c r="J262" s="3" t="s">
        <v>79</v>
      </c>
      <c r="N262" t="s">
        <v>9</v>
      </c>
      <c r="O262" t="e">
        <f>#REF!*D262</f>
        <v>#REF!</v>
      </c>
    </row>
    <row r="263" spans="2:15" ht="75" x14ac:dyDescent="0.25">
      <c r="B263" t="e">
        <f>VLOOKUP(#REF!,Лист1!$B$1:$J$82,2,0)</f>
        <v>#REF!</v>
      </c>
      <c r="C263" t="e">
        <f>VLOOKUP(A263,Лист1!$B$1:$Q$28,5,0)</f>
        <v>#N/A</v>
      </c>
      <c r="E263" s="25" t="e">
        <f>VLOOKUP(A263,Лист1!$B$1:$Q$28,3,0)</f>
        <v>#N/A</v>
      </c>
      <c r="F263" s="25"/>
      <c r="G263" t="e">
        <f>VLOOKUP(#REF!,Лист1!$B$1:$J$82,4,0)</f>
        <v>#REF!</v>
      </c>
      <c r="H263" s="20"/>
      <c r="J263" s="3" t="s">
        <v>79</v>
      </c>
      <c r="N263" t="s">
        <v>9</v>
      </c>
      <c r="O263" t="e">
        <f>#REF!*D263</f>
        <v>#REF!</v>
      </c>
    </row>
    <row r="264" spans="2:15" ht="75" x14ac:dyDescent="0.25">
      <c r="B264" t="e">
        <f>VLOOKUP(#REF!,Лист1!$B$1:$J$82,2,0)</f>
        <v>#REF!</v>
      </c>
      <c r="C264" t="e">
        <f>VLOOKUP(A264,Лист1!$B$1:$Q$28,5,0)</f>
        <v>#N/A</v>
      </c>
      <c r="E264" s="25" t="e">
        <f>VLOOKUP(A264,Лист1!$B$1:$Q$28,3,0)</f>
        <v>#N/A</v>
      </c>
      <c r="F264" s="25"/>
      <c r="G264" t="e">
        <f>VLOOKUP(#REF!,Лист1!$B$1:$J$82,4,0)</f>
        <v>#REF!</v>
      </c>
      <c r="H264" s="20"/>
      <c r="J264" s="3" t="s">
        <v>79</v>
      </c>
      <c r="N264" t="s">
        <v>9</v>
      </c>
      <c r="O264" t="e">
        <f>#REF!*D264</f>
        <v>#REF!</v>
      </c>
    </row>
    <row r="265" spans="2:15" ht="75" x14ac:dyDescent="0.25">
      <c r="B265" t="e">
        <f>VLOOKUP(#REF!,Лист1!$B$1:$J$82,2,0)</f>
        <v>#REF!</v>
      </c>
      <c r="E265" s="25" t="e">
        <f>VLOOKUP(A265,Лист1!$B$1:$Q$28,3,0)</f>
        <v>#N/A</v>
      </c>
      <c r="F265" s="25"/>
      <c r="G265" t="e">
        <f>VLOOKUP(#REF!,Лист1!$B$1:$J$82,4,0)</f>
        <v>#REF!</v>
      </c>
      <c r="H265" s="20"/>
      <c r="J265" s="3" t="s">
        <v>79</v>
      </c>
      <c r="N265" t="s">
        <v>9</v>
      </c>
      <c r="O265" t="e">
        <f>#REF!*D265</f>
        <v>#REF!</v>
      </c>
    </row>
    <row r="266" spans="2:15" ht="75" x14ac:dyDescent="0.25">
      <c r="B266" t="e">
        <f>VLOOKUP(#REF!,Лист1!$B$1:$J$82,2,0)</f>
        <v>#REF!</v>
      </c>
      <c r="E266" s="25" t="e">
        <f>VLOOKUP(A266,Лист1!$B$1:$Q$28,3,0)</f>
        <v>#N/A</v>
      </c>
      <c r="F266" s="25"/>
      <c r="G266" t="e">
        <f>VLOOKUP(#REF!,Лист1!$B$1:$J$82,4,0)</f>
        <v>#REF!</v>
      </c>
      <c r="H266" s="20"/>
      <c r="J266" s="3" t="s">
        <v>79</v>
      </c>
      <c r="N266" t="s">
        <v>9</v>
      </c>
      <c r="O266" t="e">
        <f>#REF!*D266</f>
        <v>#REF!</v>
      </c>
    </row>
    <row r="267" spans="2:15" ht="75" x14ac:dyDescent="0.25">
      <c r="B267" t="e">
        <f>VLOOKUP(#REF!,Лист1!$B$1:$J$82,2,0)</f>
        <v>#REF!</v>
      </c>
      <c r="E267" s="25" t="e">
        <f>VLOOKUP(A267,Лист1!$B$1:$Q$28,3,0)</f>
        <v>#N/A</v>
      </c>
      <c r="F267" s="25"/>
      <c r="G267" t="e">
        <f>VLOOKUP(#REF!,Лист1!$B$1:$J$82,4,0)</f>
        <v>#REF!</v>
      </c>
      <c r="H267" s="20"/>
      <c r="J267" s="3" t="s">
        <v>79</v>
      </c>
      <c r="N267" t="s">
        <v>9</v>
      </c>
      <c r="O267" t="e">
        <f>#REF!*D267</f>
        <v>#REF!</v>
      </c>
    </row>
    <row r="268" spans="2:15" ht="75" x14ac:dyDescent="0.25">
      <c r="B268" t="e">
        <f>VLOOKUP(#REF!,Лист1!$B$1:$J$82,2,0)</f>
        <v>#REF!</v>
      </c>
      <c r="E268" s="25" t="e">
        <f>VLOOKUP(A268,Лист1!$B$1:$Q$28,3,0)</f>
        <v>#N/A</v>
      </c>
      <c r="F268" s="25"/>
      <c r="G268" t="e">
        <f>VLOOKUP(#REF!,Лист1!$B$1:$J$82,4,0)</f>
        <v>#REF!</v>
      </c>
      <c r="H268" s="20"/>
      <c r="J268" s="3" t="s">
        <v>79</v>
      </c>
      <c r="N268" t="s">
        <v>9</v>
      </c>
      <c r="O268" t="e">
        <f>#REF!*D268</f>
        <v>#REF!</v>
      </c>
    </row>
    <row r="269" spans="2:15" ht="75" x14ac:dyDescent="0.25">
      <c r="B269" t="e">
        <f>VLOOKUP(#REF!,Лист1!$B$1:$J$82,2,0)</f>
        <v>#REF!</v>
      </c>
      <c r="E269" s="25" t="e">
        <f>VLOOKUP(A269,Лист1!$B$1:$Q$28,3,0)</f>
        <v>#N/A</v>
      </c>
      <c r="F269" s="25"/>
      <c r="G269" t="e">
        <f>VLOOKUP(#REF!,Лист1!$B$1:$J$82,4,0)</f>
        <v>#REF!</v>
      </c>
      <c r="H269" s="20"/>
      <c r="J269" s="3" t="s">
        <v>79</v>
      </c>
      <c r="N269" t="s">
        <v>9</v>
      </c>
      <c r="O269" t="e">
        <f>#REF!*D269</f>
        <v>#REF!</v>
      </c>
    </row>
    <row r="270" spans="2:15" ht="75" x14ac:dyDescent="0.25">
      <c r="B270" t="e">
        <f>VLOOKUP(#REF!,Лист1!$B$1:$J$82,2,0)</f>
        <v>#REF!</v>
      </c>
      <c r="E270" s="25" t="e">
        <f>VLOOKUP(A270,Лист1!$B$1:$Q$28,3,0)</f>
        <v>#N/A</v>
      </c>
      <c r="F270" s="25"/>
      <c r="G270" t="e">
        <f>VLOOKUP(#REF!,Лист1!$B$1:$J$82,4,0)</f>
        <v>#REF!</v>
      </c>
      <c r="H270" s="20"/>
      <c r="J270" s="3" t="s">
        <v>79</v>
      </c>
      <c r="N270" t="s">
        <v>9</v>
      </c>
      <c r="O270" t="e">
        <f>#REF!*D270</f>
        <v>#REF!</v>
      </c>
    </row>
    <row r="271" spans="2:15" ht="75" x14ac:dyDescent="0.25">
      <c r="B271" t="e">
        <f>VLOOKUP(#REF!,Лист1!$B$1:$J$82,2,0)</f>
        <v>#REF!</v>
      </c>
      <c r="E271" s="25" t="e">
        <f>VLOOKUP(A271,Лист1!$B$1:$Q$28,3,0)</f>
        <v>#N/A</v>
      </c>
      <c r="F271" s="25"/>
      <c r="G271" t="e">
        <f>VLOOKUP(#REF!,Лист1!$B$1:$J$82,4,0)</f>
        <v>#REF!</v>
      </c>
      <c r="H271" s="20"/>
      <c r="J271" s="3" t="s">
        <v>79</v>
      </c>
      <c r="N271" t="s">
        <v>9</v>
      </c>
      <c r="O271" t="e">
        <f>#REF!*D271</f>
        <v>#REF!</v>
      </c>
    </row>
    <row r="272" spans="2:15" ht="75" x14ac:dyDescent="0.25">
      <c r="B272" t="e">
        <f>VLOOKUP(#REF!,Лист1!$B$1:$J$82,2,0)</f>
        <v>#REF!</v>
      </c>
      <c r="E272" s="25" t="e">
        <f>VLOOKUP(A272,Лист1!$B$1:$Q$28,3,0)</f>
        <v>#N/A</v>
      </c>
      <c r="F272" s="25"/>
      <c r="G272" t="e">
        <f>VLOOKUP(#REF!,Лист1!$B$1:$J$82,4,0)</f>
        <v>#REF!</v>
      </c>
      <c r="H272" s="20"/>
      <c r="J272" s="3" t="s">
        <v>79</v>
      </c>
      <c r="N272" t="s">
        <v>9</v>
      </c>
      <c r="O272" t="e">
        <f>#REF!*D272</f>
        <v>#REF!</v>
      </c>
    </row>
    <row r="273" spans="2:15" ht="75" x14ac:dyDescent="0.25">
      <c r="B273" t="e">
        <f>VLOOKUP(#REF!,Лист1!$B$1:$J$82,2,0)</f>
        <v>#REF!</v>
      </c>
      <c r="E273" s="25" t="e">
        <f>VLOOKUP(A273,Лист1!$B$1:$Q$28,3,0)</f>
        <v>#N/A</v>
      </c>
      <c r="F273" s="25"/>
      <c r="G273" t="e">
        <f>VLOOKUP(#REF!,Лист1!$B$1:$J$82,4,0)</f>
        <v>#REF!</v>
      </c>
      <c r="H273" s="20"/>
      <c r="J273" s="3" t="s">
        <v>79</v>
      </c>
      <c r="N273" t="s">
        <v>9</v>
      </c>
      <c r="O273" t="e">
        <f>#REF!*D273</f>
        <v>#REF!</v>
      </c>
    </row>
    <row r="274" spans="2:15" ht="75" x14ac:dyDescent="0.25">
      <c r="B274" t="e">
        <f>VLOOKUP(#REF!,Лист1!$B$1:$J$82,2,0)</f>
        <v>#REF!</v>
      </c>
      <c r="E274" s="25" t="e">
        <f>VLOOKUP(A274,Лист1!$B$1:$Q$28,3,0)</f>
        <v>#N/A</v>
      </c>
      <c r="F274" s="25"/>
      <c r="G274" t="e">
        <f>VLOOKUP(#REF!,Лист1!$B$1:$J$82,4,0)</f>
        <v>#REF!</v>
      </c>
      <c r="H274" s="20"/>
      <c r="J274" s="3" t="s">
        <v>79</v>
      </c>
      <c r="N274" t="s">
        <v>9</v>
      </c>
      <c r="O274" t="e">
        <f>#REF!*D274</f>
        <v>#REF!</v>
      </c>
    </row>
    <row r="275" spans="2:15" ht="75" x14ac:dyDescent="0.25">
      <c r="B275" t="e">
        <f>VLOOKUP(#REF!,Лист1!$B$1:$J$82,2,0)</f>
        <v>#REF!</v>
      </c>
      <c r="E275" s="25" t="e">
        <f>VLOOKUP(A275,Лист1!$B$1:$Q$28,3,0)</f>
        <v>#N/A</v>
      </c>
      <c r="F275" s="25"/>
      <c r="G275" t="e">
        <f>VLOOKUP(#REF!,Лист1!$B$1:$J$82,4,0)</f>
        <v>#REF!</v>
      </c>
      <c r="H275" s="20"/>
      <c r="J275" s="3" t="s">
        <v>79</v>
      </c>
      <c r="N275" t="s">
        <v>9</v>
      </c>
      <c r="O275" t="e">
        <f>#REF!*D275</f>
        <v>#REF!</v>
      </c>
    </row>
    <row r="276" spans="2:15" ht="75" x14ac:dyDescent="0.25">
      <c r="B276" t="e">
        <f>VLOOKUP(#REF!,Лист1!$B$1:$J$82,2,0)</f>
        <v>#REF!</v>
      </c>
      <c r="E276" s="25" t="e">
        <f>VLOOKUP(A276,Лист1!$B$1:$Q$28,3,0)</f>
        <v>#N/A</v>
      </c>
      <c r="F276" s="25"/>
      <c r="G276" t="e">
        <f>VLOOKUP(#REF!,Лист1!$B$1:$J$82,4,0)</f>
        <v>#REF!</v>
      </c>
      <c r="H276" s="20"/>
      <c r="J276" s="3" t="s">
        <v>79</v>
      </c>
      <c r="N276" t="s">
        <v>9</v>
      </c>
      <c r="O276" t="e">
        <f>#REF!*D276</f>
        <v>#REF!</v>
      </c>
    </row>
    <row r="277" spans="2:15" ht="75" x14ac:dyDescent="0.25">
      <c r="B277" t="e">
        <f>VLOOKUP(#REF!,Лист1!$B$1:$J$82,2,0)</f>
        <v>#REF!</v>
      </c>
      <c r="E277" s="25" t="e">
        <f>VLOOKUP(A277,Лист1!$B$1:$Q$28,3,0)</f>
        <v>#N/A</v>
      </c>
      <c r="F277" s="25"/>
      <c r="G277" t="e">
        <f>VLOOKUP(#REF!,Лист1!$B$1:$J$82,4,0)</f>
        <v>#REF!</v>
      </c>
      <c r="H277" s="20"/>
      <c r="J277" s="3" t="s">
        <v>79</v>
      </c>
      <c r="N277" t="s">
        <v>9</v>
      </c>
      <c r="O277" t="e">
        <f>#REF!*D277</f>
        <v>#REF!</v>
      </c>
    </row>
    <row r="278" spans="2:15" ht="75" x14ac:dyDescent="0.25">
      <c r="B278" t="e">
        <f>VLOOKUP(#REF!,Лист1!$B$1:$J$82,2,0)</f>
        <v>#REF!</v>
      </c>
      <c r="E278" s="25" t="e">
        <f>VLOOKUP(A278,Лист1!$B$1:$Q$28,3,0)</f>
        <v>#N/A</v>
      </c>
      <c r="F278" s="25"/>
      <c r="G278" t="e">
        <f>VLOOKUP(#REF!,Лист1!$B$1:$J$82,4,0)</f>
        <v>#REF!</v>
      </c>
      <c r="H278" s="20"/>
      <c r="J278" s="3" t="s">
        <v>79</v>
      </c>
      <c r="N278" t="s">
        <v>9</v>
      </c>
      <c r="O278" t="e">
        <f>#REF!*D278</f>
        <v>#REF!</v>
      </c>
    </row>
    <row r="279" spans="2:15" ht="75" x14ac:dyDescent="0.25">
      <c r="B279" t="e">
        <f>VLOOKUP(#REF!,Лист1!$B$1:$J$82,2,0)</f>
        <v>#REF!</v>
      </c>
      <c r="E279" s="25" t="e">
        <f>VLOOKUP(A279,Лист1!$B$1:$Q$28,3,0)</f>
        <v>#N/A</v>
      </c>
      <c r="F279" s="25"/>
      <c r="G279" t="e">
        <f>VLOOKUP(#REF!,Лист1!$B$1:$J$82,4,0)</f>
        <v>#REF!</v>
      </c>
      <c r="H279" s="20"/>
      <c r="J279" s="3" t="s">
        <v>79</v>
      </c>
      <c r="N279" t="s">
        <v>9</v>
      </c>
      <c r="O279" t="e">
        <f>#REF!*D279</f>
        <v>#REF!</v>
      </c>
    </row>
    <row r="280" spans="2:15" ht="75" x14ac:dyDescent="0.25">
      <c r="B280" t="e">
        <f>VLOOKUP(#REF!,Лист1!$B$1:$J$82,2,0)</f>
        <v>#REF!</v>
      </c>
      <c r="E280" s="25" t="e">
        <f>VLOOKUP(A280,Лист1!$B$1:$Q$28,3,0)</f>
        <v>#N/A</v>
      </c>
      <c r="F280" s="25"/>
      <c r="G280" t="e">
        <f>VLOOKUP(#REF!,Лист1!$B$1:$J$82,4,0)</f>
        <v>#REF!</v>
      </c>
      <c r="H280" s="20"/>
      <c r="J280" s="3" t="s">
        <v>79</v>
      </c>
      <c r="N280" t="s">
        <v>9</v>
      </c>
      <c r="O280" t="e">
        <f>#REF!*D280</f>
        <v>#REF!</v>
      </c>
    </row>
    <row r="281" spans="2:15" ht="75" x14ac:dyDescent="0.25">
      <c r="B281" t="e">
        <f>VLOOKUP(#REF!,Лист1!$B$1:$J$82,2,0)</f>
        <v>#REF!</v>
      </c>
      <c r="E281" s="25" t="e">
        <f>VLOOKUP(A281,Лист1!$B$1:$Q$28,3,0)</f>
        <v>#N/A</v>
      </c>
      <c r="F281" s="25"/>
      <c r="G281" t="e">
        <f>VLOOKUP(#REF!,Лист1!$B$1:$J$82,4,0)</f>
        <v>#REF!</v>
      </c>
      <c r="H281" s="20"/>
      <c r="J281" s="3" t="s">
        <v>79</v>
      </c>
      <c r="N281" t="s">
        <v>9</v>
      </c>
      <c r="O281" t="e">
        <f>#REF!*D281</f>
        <v>#REF!</v>
      </c>
    </row>
    <row r="282" spans="2:15" ht="75" x14ac:dyDescent="0.25">
      <c r="B282" t="e">
        <f>VLOOKUP(#REF!,Лист1!$B$1:$J$82,2,0)</f>
        <v>#REF!</v>
      </c>
      <c r="E282" s="25" t="e">
        <f>VLOOKUP(A282,Лист1!$B$1:$Q$28,3,0)</f>
        <v>#N/A</v>
      </c>
      <c r="F282" s="25"/>
      <c r="G282" t="e">
        <f>VLOOKUP(#REF!,Лист1!$B$1:$J$82,4,0)</f>
        <v>#REF!</v>
      </c>
      <c r="H282" s="20"/>
      <c r="J282" s="3" t="s">
        <v>79</v>
      </c>
      <c r="N282" t="s">
        <v>9</v>
      </c>
      <c r="O282" t="e">
        <f>#REF!*D282</f>
        <v>#REF!</v>
      </c>
    </row>
    <row r="283" spans="2:15" ht="75" x14ac:dyDescent="0.25">
      <c r="B283" t="e">
        <f>VLOOKUP(#REF!,Лист1!$B$1:$J$82,2,0)</f>
        <v>#REF!</v>
      </c>
      <c r="E283" s="25" t="e">
        <f>VLOOKUP(A283,Лист1!$B$1:$Q$28,3,0)</f>
        <v>#N/A</v>
      </c>
      <c r="F283" s="25"/>
      <c r="G283" t="e">
        <f>VLOOKUP(#REF!,Лист1!$B$1:$J$82,4,0)</f>
        <v>#REF!</v>
      </c>
      <c r="H283" s="20"/>
      <c r="J283" s="3" t="s">
        <v>79</v>
      </c>
      <c r="O283" t="e">
        <f>#REF!*D283</f>
        <v>#REF!</v>
      </c>
    </row>
    <row r="284" spans="2:15" ht="75" x14ac:dyDescent="0.25">
      <c r="B284" t="e">
        <f>VLOOKUP(#REF!,Лист1!$B$1:$J$82,2,0)</f>
        <v>#REF!</v>
      </c>
      <c r="E284" s="25" t="e">
        <f>VLOOKUP(A284,Лист1!$B$1:$Q$28,3,0)</f>
        <v>#N/A</v>
      </c>
      <c r="F284" s="25"/>
      <c r="G284" t="e">
        <f>VLOOKUP(#REF!,Лист1!$B$1:$J$82,4,0)</f>
        <v>#REF!</v>
      </c>
      <c r="H284" s="20"/>
      <c r="J284" s="3" t="s">
        <v>79</v>
      </c>
      <c r="O284" t="e">
        <f>#REF!*D284</f>
        <v>#REF!</v>
      </c>
    </row>
    <row r="285" spans="2:15" ht="75" x14ac:dyDescent="0.25">
      <c r="B285" t="e">
        <f>VLOOKUP(#REF!,Лист1!$B$1:$J$82,2,0)</f>
        <v>#REF!</v>
      </c>
      <c r="E285" s="25" t="e">
        <f>VLOOKUP(A285,Лист1!$B$1:$Q$28,3,0)</f>
        <v>#N/A</v>
      </c>
      <c r="F285" s="25"/>
      <c r="G285" t="e">
        <f>VLOOKUP(#REF!,Лист1!$B$1:$J$82,4,0)</f>
        <v>#REF!</v>
      </c>
      <c r="H285" s="20"/>
      <c r="J285" s="3" t="s">
        <v>79</v>
      </c>
      <c r="O285" t="e">
        <f>#REF!*D285</f>
        <v>#REF!</v>
      </c>
    </row>
    <row r="286" spans="2:15" ht="75" x14ac:dyDescent="0.25">
      <c r="B286" t="e">
        <f>VLOOKUP(#REF!,Лист1!$B$1:$J$82,2,0)</f>
        <v>#REF!</v>
      </c>
      <c r="E286" s="25" t="e">
        <f>VLOOKUP(A286,Лист1!$B$1:$Q$28,3,0)</f>
        <v>#N/A</v>
      </c>
      <c r="F286" s="25"/>
      <c r="G286" t="e">
        <f>VLOOKUP(#REF!,Лист1!$B$1:$J$82,4,0)</f>
        <v>#REF!</v>
      </c>
      <c r="H286" s="20"/>
      <c r="J286" s="3" t="s">
        <v>79</v>
      </c>
      <c r="O286" t="e">
        <f>#REF!*D286</f>
        <v>#REF!</v>
      </c>
    </row>
    <row r="287" spans="2:15" ht="75" x14ac:dyDescent="0.25">
      <c r="B287" t="e">
        <f>VLOOKUP(#REF!,Лист1!$B$1:$J$82,2,0)</f>
        <v>#REF!</v>
      </c>
      <c r="E287" s="25" t="e">
        <f>VLOOKUP(A287,Лист1!$B$1:$Q$28,3,0)</f>
        <v>#N/A</v>
      </c>
      <c r="F287" s="25"/>
      <c r="G287" t="e">
        <f>VLOOKUP(#REF!,Лист1!$B$1:$J$82,4,0)</f>
        <v>#REF!</v>
      </c>
      <c r="H287" s="20"/>
      <c r="J287" s="3" t="s">
        <v>79</v>
      </c>
      <c r="O287" t="e">
        <f>#REF!*D287</f>
        <v>#REF!</v>
      </c>
    </row>
    <row r="288" spans="2:15" ht="75" x14ac:dyDescent="0.25">
      <c r="B288" t="e">
        <f>VLOOKUP(#REF!,Лист1!$B$1:$J$82,2,0)</f>
        <v>#REF!</v>
      </c>
      <c r="E288" s="25" t="e">
        <f>VLOOKUP(A288,Лист1!$B$1:$Q$28,3,0)</f>
        <v>#N/A</v>
      </c>
      <c r="F288" s="25"/>
      <c r="G288" t="e">
        <f>VLOOKUP(#REF!,Лист1!$B$1:$J$82,4,0)</f>
        <v>#REF!</v>
      </c>
      <c r="H288" s="20"/>
      <c r="J288" s="3" t="s">
        <v>79</v>
      </c>
      <c r="O288" t="e">
        <f>#REF!*D288</f>
        <v>#REF!</v>
      </c>
    </row>
    <row r="289" spans="2:15" ht="75" x14ac:dyDescent="0.25">
      <c r="B289" t="e">
        <f>VLOOKUP(#REF!,Лист1!$B$1:$J$82,2,0)</f>
        <v>#REF!</v>
      </c>
      <c r="E289" s="25" t="e">
        <f>VLOOKUP(A289,Лист1!$B$1:$Q$28,3,0)</f>
        <v>#N/A</v>
      </c>
      <c r="F289" s="25"/>
      <c r="J289" s="3" t="s">
        <v>79</v>
      </c>
      <c r="O289" t="e">
        <f>#REF!*D289</f>
        <v>#REF!</v>
      </c>
    </row>
    <row r="290" spans="2:15" ht="75" x14ac:dyDescent="0.25">
      <c r="B290" t="e">
        <f>VLOOKUP(#REF!,Лист1!$B$1:$J$82,2,0)</f>
        <v>#REF!</v>
      </c>
      <c r="E290" s="25" t="e">
        <f>VLOOKUP(A290,Лист1!$B$1:$Q$28,3,0)</f>
        <v>#N/A</v>
      </c>
      <c r="F290" s="25"/>
      <c r="J290" s="3" t="s">
        <v>79</v>
      </c>
      <c r="O290" t="e">
        <f>#REF!*D290</f>
        <v>#REF!</v>
      </c>
    </row>
    <row r="291" spans="2:15" ht="75" x14ac:dyDescent="0.25">
      <c r="B291" t="e">
        <f>VLOOKUP(#REF!,Лист1!$B$1:$J$82,2,0)</f>
        <v>#REF!</v>
      </c>
      <c r="E291" s="25" t="e">
        <f>VLOOKUP(A291,Лист1!$B$1:$Q$28,3,0)</f>
        <v>#N/A</v>
      </c>
      <c r="F291" s="25"/>
      <c r="J291" s="3" t="s">
        <v>79</v>
      </c>
      <c r="O291" t="e">
        <f>#REF!*D291</f>
        <v>#REF!</v>
      </c>
    </row>
    <row r="292" spans="2:15" ht="75" x14ac:dyDescent="0.25">
      <c r="B292"/>
      <c r="E292" s="25" t="e">
        <f>VLOOKUP(A292,Лист1!$B$1:$Q$28,3,0)</f>
        <v>#N/A</v>
      </c>
      <c r="F292" s="25"/>
      <c r="J292" s="3" t="s">
        <v>79</v>
      </c>
      <c r="O292" t="e">
        <f>#REF!*D292</f>
        <v>#REF!</v>
      </c>
    </row>
    <row r="293" spans="2:15" ht="75" x14ac:dyDescent="0.25">
      <c r="B293"/>
      <c r="E293" s="25" t="e">
        <f>VLOOKUP(A293,Лист1!$B$1:$Q$28,3,0)</f>
        <v>#N/A</v>
      </c>
      <c r="F293" s="25"/>
      <c r="J293" s="3" t="s">
        <v>79</v>
      </c>
      <c r="O293" t="e">
        <f>#REF!*D293</f>
        <v>#REF!</v>
      </c>
    </row>
    <row r="294" spans="2:15" ht="75" x14ac:dyDescent="0.25">
      <c r="B294"/>
      <c r="E294" s="25" t="e">
        <f>VLOOKUP(A294,Лист1!$B$1:$Q$28,3,0)</f>
        <v>#N/A</v>
      </c>
      <c r="F294" s="25"/>
      <c r="J294" s="3" t="s">
        <v>79</v>
      </c>
      <c r="O294" t="e">
        <f>#REF!*D294</f>
        <v>#REF!</v>
      </c>
    </row>
    <row r="295" spans="2:15" ht="75" x14ac:dyDescent="0.25">
      <c r="B295"/>
      <c r="E295" s="25" t="e">
        <f>VLOOKUP(A295,Лист1!$B$1:$Q$28,3,0)</f>
        <v>#N/A</v>
      </c>
      <c r="F295" s="25"/>
      <c r="J295" s="3" t="s">
        <v>79</v>
      </c>
      <c r="O295" t="e">
        <f>#REF!*D295</f>
        <v>#REF!</v>
      </c>
    </row>
    <row r="296" spans="2:15" ht="75" x14ac:dyDescent="0.25">
      <c r="B296"/>
      <c r="E296" s="25" t="e">
        <f>VLOOKUP(A296,Лист1!$B$1:$Q$28,3,0)</f>
        <v>#N/A</v>
      </c>
      <c r="F296" s="25"/>
      <c r="J296" s="3" t="s">
        <v>79</v>
      </c>
      <c r="O296" t="e">
        <f>#REF!*D296</f>
        <v>#REF!</v>
      </c>
    </row>
    <row r="297" spans="2:15" ht="75" x14ac:dyDescent="0.25">
      <c r="B297"/>
      <c r="E297" s="25" t="e">
        <f>VLOOKUP(A297,Лист1!$B$1:$Q$28,3,0)</f>
        <v>#N/A</v>
      </c>
      <c r="F297" s="25"/>
      <c r="J297" s="3" t="s">
        <v>79</v>
      </c>
      <c r="O297" t="e">
        <f>#REF!*D297</f>
        <v>#REF!</v>
      </c>
    </row>
    <row r="298" spans="2:15" ht="75" x14ac:dyDescent="0.25">
      <c r="B298"/>
      <c r="E298" s="25" t="e">
        <f>VLOOKUP(A298,Лист1!$B$1:$Q$28,3,0)</f>
        <v>#N/A</v>
      </c>
      <c r="F298" s="25"/>
      <c r="J298" s="3" t="s">
        <v>79</v>
      </c>
      <c r="O298" t="e">
        <f>#REF!*D298</f>
        <v>#REF!</v>
      </c>
    </row>
    <row r="299" spans="2:15" ht="75" x14ac:dyDescent="0.25">
      <c r="B299"/>
      <c r="E299" s="25" t="e">
        <f>VLOOKUP(A299,Лист1!$B$1:$Q$28,3,0)</f>
        <v>#N/A</v>
      </c>
      <c r="F299" s="25"/>
      <c r="J299" s="3" t="s">
        <v>79</v>
      </c>
      <c r="O299" t="e">
        <f>#REF!*D299</f>
        <v>#REF!</v>
      </c>
    </row>
    <row r="300" spans="2:15" ht="75" x14ac:dyDescent="0.25">
      <c r="B300"/>
      <c r="E300" s="25" t="e">
        <f>VLOOKUP(A300,Лист1!$B$1:$Q$28,3,0)</f>
        <v>#N/A</v>
      </c>
      <c r="F300" s="25"/>
      <c r="J300" s="3" t="s">
        <v>79</v>
      </c>
      <c r="O300" t="e">
        <f>#REF!*D300</f>
        <v>#REF!</v>
      </c>
    </row>
    <row r="301" spans="2:15" ht="75" x14ac:dyDescent="0.25">
      <c r="B301"/>
      <c r="E301" s="25" t="e">
        <f>VLOOKUP(A301,Лист1!$B$1:$Q$28,3,0)</f>
        <v>#N/A</v>
      </c>
      <c r="F301" s="25"/>
      <c r="J301" s="3" t="s">
        <v>79</v>
      </c>
      <c r="O301" t="e">
        <f>#REF!*D301</f>
        <v>#REF!</v>
      </c>
    </row>
    <row r="302" spans="2:15" ht="75" x14ac:dyDescent="0.25">
      <c r="B302"/>
      <c r="E302" s="25" t="e">
        <f>VLOOKUP(A302,Лист1!$B$1:$Q$28,3,0)</f>
        <v>#N/A</v>
      </c>
      <c r="F302" s="25"/>
      <c r="J302" s="3" t="s">
        <v>79</v>
      </c>
      <c r="O302" t="e">
        <f>#REF!*D302</f>
        <v>#REF!</v>
      </c>
    </row>
    <row r="303" spans="2:15" ht="75" x14ac:dyDescent="0.25">
      <c r="B303"/>
      <c r="E303" s="25" t="e">
        <f>VLOOKUP(A303,Лист1!$B$1:$Q$28,3,0)</f>
        <v>#N/A</v>
      </c>
      <c r="F303" s="25"/>
      <c r="J303" s="3" t="s">
        <v>79</v>
      </c>
      <c r="O303" t="e">
        <f>#REF!*D303</f>
        <v>#REF!</v>
      </c>
    </row>
    <row r="304" spans="2:15" ht="75" x14ac:dyDescent="0.25">
      <c r="B304"/>
      <c r="E304" s="25" t="e">
        <f>VLOOKUP(A304,Лист1!$B$1:$Q$28,3,0)</f>
        <v>#N/A</v>
      </c>
      <c r="F304" s="25"/>
      <c r="J304" s="3" t="s">
        <v>79</v>
      </c>
      <c r="O304" t="e">
        <f>#REF!*D304</f>
        <v>#REF!</v>
      </c>
    </row>
    <row r="305" spans="2:15" ht="75" x14ac:dyDescent="0.25">
      <c r="B305"/>
      <c r="E305" s="25" t="e">
        <f>VLOOKUP(A305,Лист1!$B$1:$Q$28,3,0)</f>
        <v>#N/A</v>
      </c>
      <c r="F305" s="25"/>
      <c r="J305" s="3" t="s">
        <v>79</v>
      </c>
      <c r="O305" t="e">
        <f>#REF!*D305</f>
        <v>#REF!</v>
      </c>
    </row>
    <row r="306" spans="2:15" ht="75" x14ac:dyDescent="0.25">
      <c r="B306"/>
      <c r="E306" s="25" t="e">
        <f>VLOOKUP(A306,Лист1!$B$1:$Q$28,3,0)</f>
        <v>#N/A</v>
      </c>
      <c r="F306" s="25"/>
      <c r="J306" s="3" t="s">
        <v>79</v>
      </c>
      <c r="O306" t="e">
        <f>#REF!*D306</f>
        <v>#REF!</v>
      </c>
    </row>
    <row r="307" spans="2:15" ht="75" x14ac:dyDescent="0.25">
      <c r="B307"/>
      <c r="E307" s="25" t="e">
        <f>VLOOKUP(A307,Лист1!$B$1:$Q$28,3,0)</f>
        <v>#N/A</v>
      </c>
      <c r="F307" s="25"/>
      <c r="J307" s="3" t="s">
        <v>79</v>
      </c>
      <c r="O307" t="e">
        <f>#REF!*D307</f>
        <v>#REF!</v>
      </c>
    </row>
    <row r="308" spans="2:15" ht="75" x14ac:dyDescent="0.25">
      <c r="B308"/>
      <c r="E308" s="25" t="e">
        <f>VLOOKUP(A308,Лист1!$B$1:$Q$28,3,0)</f>
        <v>#N/A</v>
      </c>
      <c r="F308" s="25"/>
      <c r="J308" s="3" t="s">
        <v>79</v>
      </c>
      <c r="O308" t="e">
        <f>#REF!*D308</f>
        <v>#REF!</v>
      </c>
    </row>
    <row r="309" spans="2:15" ht="75" x14ac:dyDescent="0.25">
      <c r="B309"/>
      <c r="E309" s="25" t="e">
        <f>VLOOKUP(A309,Лист1!$B$1:$Q$28,3,0)</f>
        <v>#N/A</v>
      </c>
      <c r="F309" s="25"/>
      <c r="J309" s="3" t="s">
        <v>79</v>
      </c>
      <c r="O309" t="e">
        <f>#REF!*D309</f>
        <v>#REF!</v>
      </c>
    </row>
    <row r="310" spans="2:15" ht="75" x14ac:dyDescent="0.25">
      <c r="B310"/>
      <c r="E310" s="25" t="e">
        <f>VLOOKUP(A310,Лист1!$B$1:$Q$28,3,0)</f>
        <v>#N/A</v>
      </c>
      <c r="F310" s="25"/>
      <c r="J310" s="3" t="s">
        <v>79</v>
      </c>
      <c r="O310" t="e">
        <f>#REF!*D310</f>
        <v>#REF!</v>
      </c>
    </row>
    <row r="311" spans="2:15" ht="75" x14ac:dyDescent="0.25">
      <c r="B311"/>
      <c r="E311" s="25" t="e">
        <f>VLOOKUP(A311,Лист1!$B$1:$Q$28,3,0)</f>
        <v>#N/A</v>
      </c>
      <c r="F311" s="25"/>
      <c r="J311" s="3" t="s">
        <v>79</v>
      </c>
      <c r="O311" t="e">
        <f>#REF!*D311</f>
        <v>#REF!</v>
      </c>
    </row>
    <row r="312" spans="2:15" ht="75" x14ac:dyDescent="0.25">
      <c r="B312"/>
      <c r="E312" s="25" t="e">
        <f>VLOOKUP(A312,Лист1!$B$1:$Q$28,3,0)</f>
        <v>#N/A</v>
      </c>
      <c r="F312" s="25"/>
      <c r="J312" s="3" t="s">
        <v>79</v>
      </c>
      <c r="O312" t="e">
        <f>#REF!*D312</f>
        <v>#REF!</v>
      </c>
    </row>
    <row r="313" spans="2:15" ht="75" x14ac:dyDescent="0.25">
      <c r="B313"/>
      <c r="E313" s="25" t="e">
        <f>VLOOKUP(A313,Лист1!$B$1:$Q$28,3,0)</f>
        <v>#N/A</v>
      </c>
      <c r="F313" s="25"/>
      <c r="J313" s="3" t="s">
        <v>79</v>
      </c>
      <c r="O313" t="e">
        <f>#REF!*D313</f>
        <v>#REF!</v>
      </c>
    </row>
    <row r="314" spans="2:15" ht="75" x14ac:dyDescent="0.25">
      <c r="B314"/>
      <c r="E314" s="25" t="e">
        <f>VLOOKUP(A314,Лист1!$B$1:$Q$28,3,0)</f>
        <v>#N/A</v>
      </c>
      <c r="F314" s="25"/>
      <c r="J314" s="3" t="s">
        <v>79</v>
      </c>
      <c r="O314" t="e">
        <f>#REF!*D314</f>
        <v>#REF!</v>
      </c>
    </row>
    <row r="315" spans="2:15" ht="75" x14ac:dyDescent="0.25">
      <c r="B315"/>
      <c r="E315" s="25" t="e">
        <f>VLOOKUP(A315,Лист1!$B$1:$Q$28,3,0)</f>
        <v>#N/A</v>
      </c>
      <c r="F315" s="25"/>
      <c r="J315" s="3" t="s">
        <v>79</v>
      </c>
      <c r="O315" t="e">
        <f>#REF!*D315</f>
        <v>#REF!</v>
      </c>
    </row>
    <row r="316" spans="2:15" ht="75" x14ac:dyDescent="0.25">
      <c r="B316"/>
      <c r="E316" s="25" t="e">
        <f>VLOOKUP(A316,Лист1!$B$1:$Q$28,3,0)</f>
        <v>#N/A</v>
      </c>
      <c r="F316" s="25"/>
      <c r="J316" s="3" t="s">
        <v>79</v>
      </c>
      <c r="O316" t="e">
        <f>#REF!*D316</f>
        <v>#REF!</v>
      </c>
    </row>
    <row r="317" spans="2:15" ht="75" x14ac:dyDescent="0.25">
      <c r="B317"/>
      <c r="E317" s="25" t="e">
        <f>VLOOKUP(A317,Лист1!$B$1:$Q$28,3,0)</f>
        <v>#N/A</v>
      </c>
      <c r="F317" s="25"/>
      <c r="J317" s="3" t="s">
        <v>79</v>
      </c>
      <c r="O317" t="e">
        <f>#REF!*D317</f>
        <v>#REF!</v>
      </c>
    </row>
    <row r="318" spans="2:15" ht="75" x14ac:dyDescent="0.25">
      <c r="B318"/>
      <c r="E318" s="25" t="e">
        <f>VLOOKUP(A318,Лист1!$B$1:$Q$28,3,0)</f>
        <v>#N/A</v>
      </c>
      <c r="F318" s="25"/>
      <c r="J318" s="3" t="s">
        <v>79</v>
      </c>
      <c r="O318" t="e">
        <f>#REF!*D318</f>
        <v>#REF!</v>
      </c>
    </row>
    <row r="319" spans="2:15" ht="75" x14ac:dyDescent="0.25">
      <c r="B319"/>
      <c r="E319" s="25" t="e">
        <f>VLOOKUP(A319,Лист1!$B$1:$Q$28,3,0)</f>
        <v>#N/A</v>
      </c>
      <c r="F319" s="25"/>
      <c r="J319" s="3" t="s">
        <v>79</v>
      </c>
      <c r="O319" t="e">
        <f>#REF!*D319</f>
        <v>#REF!</v>
      </c>
    </row>
    <row r="320" spans="2:15" ht="75" x14ac:dyDescent="0.25">
      <c r="B320"/>
      <c r="E320" s="25" t="e">
        <f>VLOOKUP(A320,Лист1!$B$1:$Q$28,3,0)</f>
        <v>#N/A</v>
      </c>
      <c r="F320" s="25"/>
      <c r="J320" s="3" t="s">
        <v>79</v>
      </c>
      <c r="O320" t="e">
        <f>#REF!*D320</f>
        <v>#REF!</v>
      </c>
    </row>
    <row r="321" spans="2:15" ht="75" x14ac:dyDescent="0.25">
      <c r="B321"/>
      <c r="E321" s="25" t="e">
        <f>VLOOKUP(A321,Лист1!$B$1:$Q$28,3,0)</f>
        <v>#N/A</v>
      </c>
      <c r="F321" s="25"/>
      <c r="J321" s="3" t="s">
        <v>79</v>
      </c>
      <c r="O321" t="e">
        <f>#REF!*D321</f>
        <v>#REF!</v>
      </c>
    </row>
    <row r="322" spans="2:15" ht="75" x14ac:dyDescent="0.25">
      <c r="B322"/>
      <c r="E322" s="25" t="e">
        <f>VLOOKUP(A322,Лист1!$B$1:$Q$28,3,0)</f>
        <v>#N/A</v>
      </c>
      <c r="F322" s="25"/>
      <c r="J322" s="3" t="s">
        <v>79</v>
      </c>
      <c r="O322" t="e">
        <f>#REF!*D322</f>
        <v>#REF!</v>
      </c>
    </row>
    <row r="323" spans="2:15" ht="75" x14ac:dyDescent="0.25">
      <c r="B323"/>
      <c r="E323" s="25" t="e">
        <f>VLOOKUP(A323,Лист1!$B$1:$Q$28,3,0)</f>
        <v>#N/A</v>
      </c>
      <c r="F323" s="25"/>
      <c r="J323" s="3" t="s">
        <v>79</v>
      </c>
      <c r="O323" t="e">
        <f>#REF!*D323</f>
        <v>#REF!</v>
      </c>
    </row>
    <row r="324" spans="2:15" ht="75" x14ac:dyDescent="0.25">
      <c r="B324"/>
      <c r="E324" s="25" t="e">
        <f>VLOOKUP(A324,Лист1!$B$1:$Q$28,3,0)</f>
        <v>#N/A</v>
      </c>
      <c r="F324" s="25"/>
      <c r="J324" s="3" t="s">
        <v>79</v>
      </c>
      <c r="O324" t="e">
        <f>#REF!*D324</f>
        <v>#REF!</v>
      </c>
    </row>
    <row r="325" spans="2:15" ht="75" x14ac:dyDescent="0.25">
      <c r="B325"/>
      <c r="E325" s="25" t="e">
        <f>VLOOKUP(A325,Лист1!$B$1:$Q$28,3,0)</f>
        <v>#N/A</v>
      </c>
      <c r="F325" s="25"/>
      <c r="J325" s="3" t="s">
        <v>79</v>
      </c>
      <c r="O325" t="e">
        <f>#REF!*D325</f>
        <v>#REF!</v>
      </c>
    </row>
    <row r="326" spans="2:15" ht="75" x14ac:dyDescent="0.25">
      <c r="B326"/>
      <c r="E326" s="25" t="e">
        <f>VLOOKUP(A326,Лист1!$B$1:$Q$28,3,0)</f>
        <v>#N/A</v>
      </c>
      <c r="F326" s="25"/>
      <c r="J326" s="3" t="s">
        <v>79</v>
      </c>
      <c r="O326" t="e">
        <f>#REF!*D326</f>
        <v>#REF!</v>
      </c>
    </row>
    <row r="327" spans="2:15" ht="75" x14ac:dyDescent="0.25">
      <c r="B327"/>
      <c r="E327" s="25" t="e">
        <f>VLOOKUP(A327,Лист1!$B$1:$Q$28,3,0)</f>
        <v>#N/A</v>
      </c>
      <c r="F327" s="25"/>
      <c r="J327" s="3" t="s">
        <v>79</v>
      </c>
      <c r="O327" t="e">
        <f>#REF!*D327</f>
        <v>#REF!</v>
      </c>
    </row>
    <row r="328" spans="2:15" ht="75" x14ac:dyDescent="0.25">
      <c r="B328"/>
      <c r="E328" s="25" t="e">
        <f>VLOOKUP(A328,Лист1!$B$1:$Q$28,3,0)</f>
        <v>#N/A</v>
      </c>
      <c r="F328" s="25"/>
      <c r="J328" s="3" t="s">
        <v>79</v>
      </c>
      <c r="O328" t="e">
        <f>#REF!*D328</f>
        <v>#REF!</v>
      </c>
    </row>
    <row r="329" spans="2:15" ht="75" x14ac:dyDescent="0.25">
      <c r="B329"/>
      <c r="E329" s="25" t="e">
        <f>VLOOKUP(A329,Лист1!$B$1:$Q$28,3,0)</f>
        <v>#N/A</v>
      </c>
      <c r="F329" s="25"/>
      <c r="J329" s="3" t="s">
        <v>79</v>
      </c>
      <c r="O329" t="e">
        <f>#REF!*D329</f>
        <v>#REF!</v>
      </c>
    </row>
    <row r="330" spans="2:15" ht="75" x14ac:dyDescent="0.25">
      <c r="B330"/>
      <c r="E330" s="25" t="e">
        <f>VLOOKUP(A330,Лист1!$B$1:$Q$28,3,0)</f>
        <v>#N/A</v>
      </c>
      <c r="F330" s="25"/>
      <c r="J330" s="3" t="s">
        <v>79</v>
      </c>
      <c r="O330" t="e">
        <f>#REF!*D330</f>
        <v>#REF!</v>
      </c>
    </row>
    <row r="331" spans="2:15" ht="75" x14ac:dyDescent="0.25">
      <c r="B331"/>
      <c r="E331" s="25" t="e">
        <f>VLOOKUP(A331,Лист1!$B$1:$Q$28,3,0)</f>
        <v>#N/A</v>
      </c>
      <c r="F331" s="25"/>
      <c r="J331" s="3" t="s">
        <v>79</v>
      </c>
      <c r="O331" t="e">
        <f>#REF!*D331</f>
        <v>#REF!</v>
      </c>
    </row>
    <row r="332" spans="2:15" ht="75" x14ac:dyDescent="0.25">
      <c r="B332"/>
      <c r="E332" s="25" t="e">
        <f>VLOOKUP(A332,Лист1!$B$1:$Q$28,3,0)</f>
        <v>#N/A</v>
      </c>
      <c r="F332" s="25"/>
      <c r="J332" s="3" t="s">
        <v>79</v>
      </c>
      <c r="O332" t="e">
        <f>#REF!*D332</f>
        <v>#REF!</v>
      </c>
    </row>
    <row r="333" spans="2:15" ht="75" x14ac:dyDescent="0.25">
      <c r="B333"/>
      <c r="E333" s="25" t="e">
        <f>VLOOKUP(A333,Лист1!$B$1:$Q$28,3,0)</f>
        <v>#N/A</v>
      </c>
      <c r="F333" s="25"/>
      <c r="J333" s="3" t="s">
        <v>79</v>
      </c>
      <c r="O333" t="e">
        <f>#REF!*D333</f>
        <v>#REF!</v>
      </c>
    </row>
    <row r="334" spans="2:15" ht="75" x14ac:dyDescent="0.25">
      <c r="B334"/>
      <c r="E334" s="25" t="e">
        <f>VLOOKUP(A334,Лист1!$B$1:$Q$28,3,0)</f>
        <v>#N/A</v>
      </c>
      <c r="F334" s="25"/>
      <c r="J334" s="3" t="s">
        <v>79</v>
      </c>
      <c r="O334" t="e">
        <f>#REF!*D334</f>
        <v>#REF!</v>
      </c>
    </row>
    <row r="335" spans="2:15" ht="75" x14ac:dyDescent="0.25">
      <c r="B335"/>
      <c r="E335" s="25" t="e">
        <f>VLOOKUP(A335,Лист1!$B$1:$Q$28,3,0)</f>
        <v>#N/A</v>
      </c>
      <c r="F335" s="25"/>
      <c r="J335" s="3" t="s">
        <v>79</v>
      </c>
      <c r="O335" t="e">
        <f>#REF!*D335</f>
        <v>#REF!</v>
      </c>
    </row>
    <row r="336" spans="2:15" ht="75" x14ac:dyDescent="0.25">
      <c r="B336"/>
      <c r="E336" s="25" t="e">
        <f>VLOOKUP(A336,Лист1!$B$1:$Q$28,3,0)</f>
        <v>#N/A</v>
      </c>
      <c r="F336" s="25"/>
      <c r="J336" s="3" t="s">
        <v>79</v>
      </c>
      <c r="O336" t="e">
        <f>#REF!*D336</f>
        <v>#REF!</v>
      </c>
    </row>
    <row r="337" spans="2:15" ht="75" x14ac:dyDescent="0.25">
      <c r="B337"/>
      <c r="E337" s="25" t="e">
        <f>VLOOKUP(A337,Лист1!$B$1:$Q$28,3,0)</f>
        <v>#N/A</v>
      </c>
      <c r="F337" s="25"/>
      <c r="J337" s="3" t="s">
        <v>79</v>
      </c>
      <c r="O337" t="e">
        <f>#REF!*D337</f>
        <v>#REF!</v>
      </c>
    </row>
    <row r="338" spans="2:15" ht="75" x14ac:dyDescent="0.25">
      <c r="B338"/>
      <c r="E338" s="25" t="e">
        <f>VLOOKUP(A338,Лист1!$B$1:$Q$28,3,0)</f>
        <v>#N/A</v>
      </c>
      <c r="F338" s="25"/>
      <c r="J338" s="3" t="s">
        <v>79</v>
      </c>
      <c r="O338" t="e">
        <f>#REF!*D338</f>
        <v>#REF!</v>
      </c>
    </row>
    <row r="339" spans="2:15" ht="75" x14ac:dyDescent="0.25">
      <c r="B339"/>
      <c r="E339" s="25" t="e">
        <f>VLOOKUP(A339,Лист1!$B$1:$Q$28,3,0)</f>
        <v>#N/A</v>
      </c>
      <c r="F339" s="25"/>
      <c r="J339" s="3" t="s">
        <v>79</v>
      </c>
      <c r="O339" t="e">
        <f>#REF!*D339</f>
        <v>#REF!</v>
      </c>
    </row>
    <row r="340" spans="2:15" ht="75" x14ac:dyDescent="0.25">
      <c r="B340"/>
      <c r="E340" s="25" t="e">
        <f>VLOOKUP(A340,Лист1!$B$1:$Q$28,3,0)</f>
        <v>#N/A</v>
      </c>
      <c r="F340" s="25"/>
      <c r="J340" s="3" t="s">
        <v>79</v>
      </c>
      <c r="O340" t="e">
        <f>#REF!*D340</f>
        <v>#REF!</v>
      </c>
    </row>
    <row r="341" spans="2:15" ht="75" x14ac:dyDescent="0.25">
      <c r="B341"/>
      <c r="E341" s="25" t="e">
        <f>VLOOKUP(A341,Лист1!$B$1:$Q$28,3,0)</f>
        <v>#N/A</v>
      </c>
      <c r="F341" s="25"/>
      <c r="J341" s="3" t="s">
        <v>79</v>
      </c>
      <c r="O341" t="e">
        <f>#REF!*D341</f>
        <v>#REF!</v>
      </c>
    </row>
    <row r="342" spans="2:15" ht="75" x14ac:dyDescent="0.25">
      <c r="B342"/>
      <c r="E342" s="25" t="e">
        <f>VLOOKUP(A342,Лист1!$B$1:$Q$28,3,0)</f>
        <v>#N/A</v>
      </c>
      <c r="F342" s="25"/>
      <c r="J342" s="3" t="s">
        <v>79</v>
      </c>
      <c r="O342" t="e">
        <f>#REF!*D342</f>
        <v>#REF!</v>
      </c>
    </row>
    <row r="343" spans="2:15" ht="75" x14ac:dyDescent="0.25">
      <c r="B343"/>
      <c r="E343" s="25" t="e">
        <f>VLOOKUP(A343,Лист1!$B$1:$Q$28,3,0)</f>
        <v>#N/A</v>
      </c>
      <c r="F343" s="25"/>
      <c r="J343" s="3" t="s">
        <v>79</v>
      </c>
      <c r="O343" t="e">
        <f>#REF!*D343</f>
        <v>#REF!</v>
      </c>
    </row>
    <row r="344" spans="2:15" ht="75" x14ac:dyDescent="0.25">
      <c r="B344"/>
      <c r="E344" s="25" t="e">
        <f>VLOOKUP(A344,Лист1!$B$1:$Q$28,3,0)</f>
        <v>#N/A</v>
      </c>
      <c r="F344" s="25"/>
      <c r="J344" s="3" t="s">
        <v>79</v>
      </c>
      <c r="O344" t="e">
        <f>#REF!*D344</f>
        <v>#REF!</v>
      </c>
    </row>
    <row r="345" spans="2:15" ht="75" x14ac:dyDescent="0.25">
      <c r="B345"/>
      <c r="E345" s="25" t="e">
        <f>VLOOKUP(A345,Лист1!$B$1:$Q$28,3,0)</f>
        <v>#N/A</v>
      </c>
      <c r="F345" s="25"/>
      <c r="J345" s="3" t="s">
        <v>79</v>
      </c>
      <c r="O345" t="e">
        <f>#REF!*D345</f>
        <v>#REF!</v>
      </c>
    </row>
    <row r="346" spans="2:15" ht="75" x14ac:dyDescent="0.25">
      <c r="B346"/>
      <c r="E346" s="25" t="e">
        <f>VLOOKUP(A346,Лист1!$B$1:$Q$28,3,0)</f>
        <v>#N/A</v>
      </c>
      <c r="F346" s="25"/>
      <c r="J346" s="3" t="s">
        <v>79</v>
      </c>
      <c r="O346" t="e">
        <f>#REF!*D346</f>
        <v>#REF!</v>
      </c>
    </row>
    <row r="347" spans="2:15" ht="75" x14ac:dyDescent="0.25">
      <c r="B347"/>
      <c r="E347" s="25" t="e">
        <f>VLOOKUP(A347,Лист1!$B$1:$Q$28,3,0)</f>
        <v>#N/A</v>
      </c>
      <c r="F347" s="25"/>
      <c r="J347" s="3" t="s">
        <v>79</v>
      </c>
      <c r="O347" t="e">
        <f>#REF!*D347</f>
        <v>#REF!</v>
      </c>
    </row>
    <row r="348" spans="2:15" ht="75" x14ac:dyDescent="0.25">
      <c r="B348"/>
      <c r="E348" s="25" t="e">
        <f>VLOOKUP(A348,Лист1!$B$1:$Q$28,3,0)</f>
        <v>#N/A</v>
      </c>
      <c r="F348" s="25"/>
      <c r="J348" s="3" t="s">
        <v>79</v>
      </c>
      <c r="O348" t="e">
        <f>#REF!*D348</f>
        <v>#REF!</v>
      </c>
    </row>
    <row r="349" spans="2:15" ht="75" x14ac:dyDescent="0.25">
      <c r="B349"/>
      <c r="E349" s="25" t="e">
        <f>VLOOKUP(A349,Лист1!$B$1:$Q$28,3,0)</f>
        <v>#N/A</v>
      </c>
      <c r="F349" s="25"/>
      <c r="J349" s="3" t="s">
        <v>79</v>
      </c>
      <c r="O349" t="e">
        <f>#REF!*D349</f>
        <v>#REF!</v>
      </c>
    </row>
    <row r="350" spans="2:15" ht="75" x14ac:dyDescent="0.25">
      <c r="B350"/>
      <c r="E350" s="25" t="e">
        <f>VLOOKUP(A350,Лист1!$B$1:$Q$28,3,0)</f>
        <v>#N/A</v>
      </c>
      <c r="F350" s="25"/>
      <c r="J350" s="3" t="s">
        <v>79</v>
      </c>
      <c r="O350" t="e">
        <f>#REF!*D350</f>
        <v>#REF!</v>
      </c>
    </row>
    <row r="351" spans="2:15" ht="75" x14ac:dyDescent="0.25">
      <c r="B351"/>
      <c r="E351" s="25" t="e">
        <f>VLOOKUP(A351,Лист1!$B$1:$Q$28,3,0)</f>
        <v>#N/A</v>
      </c>
      <c r="F351" s="25"/>
      <c r="J351" s="3" t="s">
        <v>79</v>
      </c>
      <c r="O351" t="e">
        <f>#REF!*D351</f>
        <v>#REF!</v>
      </c>
    </row>
    <row r="352" spans="2:15" ht="75" x14ac:dyDescent="0.25">
      <c r="B352"/>
      <c r="E352" s="25" t="e">
        <f>VLOOKUP(A352,Лист1!$B$1:$Q$28,3,0)</f>
        <v>#N/A</v>
      </c>
      <c r="F352" s="25"/>
      <c r="J352" s="3" t="s">
        <v>79</v>
      </c>
      <c r="O352" t="e">
        <f>#REF!*D352</f>
        <v>#REF!</v>
      </c>
    </row>
    <row r="353" spans="2:15" ht="75" x14ac:dyDescent="0.25">
      <c r="B353"/>
      <c r="E353" s="25" t="e">
        <f>VLOOKUP(A353,Лист1!$B$1:$Q$28,3,0)</f>
        <v>#N/A</v>
      </c>
      <c r="F353" s="25"/>
      <c r="J353" s="3" t="s">
        <v>79</v>
      </c>
      <c r="O353" t="e">
        <f>#REF!*D353</f>
        <v>#REF!</v>
      </c>
    </row>
    <row r="354" spans="2:15" ht="75" x14ac:dyDescent="0.25">
      <c r="B354"/>
      <c r="E354" s="25" t="e">
        <f>VLOOKUP(A354,Лист1!$B$1:$Q$28,3,0)</f>
        <v>#N/A</v>
      </c>
      <c r="F354" s="25"/>
      <c r="J354" s="3" t="s">
        <v>79</v>
      </c>
      <c r="O354" t="e">
        <f>#REF!*D354</f>
        <v>#REF!</v>
      </c>
    </row>
    <row r="355" spans="2:15" ht="75" x14ac:dyDescent="0.25">
      <c r="B355"/>
      <c r="E355" s="25" t="e">
        <f>VLOOKUP(A355,Лист1!$B$1:$Q$28,3,0)</f>
        <v>#N/A</v>
      </c>
      <c r="F355" s="25"/>
      <c r="J355" s="3" t="s">
        <v>79</v>
      </c>
      <c r="O355" t="e">
        <f>#REF!*D355</f>
        <v>#REF!</v>
      </c>
    </row>
    <row r="356" spans="2:15" ht="75" x14ac:dyDescent="0.25">
      <c r="B356"/>
      <c r="E356" s="25" t="e">
        <f>VLOOKUP(A356,Лист1!$B$1:$Q$28,3,0)</f>
        <v>#N/A</v>
      </c>
      <c r="F356" s="25"/>
      <c r="J356" s="3" t="s">
        <v>79</v>
      </c>
      <c r="O356" t="e">
        <f>#REF!*D356</f>
        <v>#REF!</v>
      </c>
    </row>
    <row r="357" spans="2:15" ht="75" x14ac:dyDescent="0.25">
      <c r="B357"/>
      <c r="E357" s="25" t="e">
        <f>VLOOKUP(A357,Лист1!$B$1:$Q$28,3,0)</f>
        <v>#N/A</v>
      </c>
      <c r="F357" s="25"/>
      <c r="J357" s="3" t="s">
        <v>79</v>
      </c>
      <c r="O357" t="e">
        <f>#REF!*D357</f>
        <v>#REF!</v>
      </c>
    </row>
    <row r="358" spans="2:15" ht="75" x14ac:dyDescent="0.25">
      <c r="B358"/>
      <c r="E358" s="25" t="e">
        <f>VLOOKUP(A358,Лист1!$B$1:$Q$28,3,0)</f>
        <v>#N/A</v>
      </c>
      <c r="F358" s="25"/>
      <c r="J358" s="3" t="s">
        <v>79</v>
      </c>
      <c r="O358" t="e">
        <f>#REF!*D358</f>
        <v>#REF!</v>
      </c>
    </row>
    <row r="359" spans="2:15" ht="75" x14ac:dyDescent="0.25">
      <c r="B359"/>
      <c r="E359" s="25" t="e">
        <f>VLOOKUP(A359,Лист1!$B$1:$Q$28,3,0)</f>
        <v>#N/A</v>
      </c>
      <c r="F359" s="25"/>
      <c r="J359" s="3" t="s">
        <v>79</v>
      </c>
      <c r="O359" t="e">
        <f>#REF!*D359</f>
        <v>#REF!</v>
      </c>
    </row>
    <row r="360" spans="2:15" ht="75" x14ac:dyDescent="0.25">
      <c r="B360"/>
      <c r="E360" s="25" t="e">
        <f>VLOOKUP(A360,Лист1!$B$1:$Q$28,3,0)</f>
        <v>#N/A</v>
      </c>
      <c r="F360" s="25"/>
      <c r="J360" s="3" t="s">
        <v>79</v>
      </c>
      <c r="O360" t="e">
        <f>#REF!*D360</f>
        <v>#REF!</v>
      </c>
    </row>
    <row r="361" spans="2:15" ht="75" x14ac:dyDescent="0.25">
      <c r="B361"/>
      <c r="E361" s="25" t="e">
        <f>VLOOKUP(A361,Лист1!$B$1:$Q$28,3,0)</f>
        <v>#N/A</v>
      </c>
      <c r="F361" s="25"/>
      <c r="J361" s="3" t="s">
        <v>79</v>
      </c>
      <c r="O361" t="e">
        <f>#REF!*D361</f>
        <v>#REF!</v>
      </c>
    </row>
    <row r="362" spans="2:15" ht="75" x14ac:dyDescent="0.25">
      <c r="B362"/>
      <c r="E362" s="25" t="e">
        <f>VLOOKUP(A362,Лист1!$B$1:$Q$28,3,0)</f>
        <v>#N/A</v>
      </c>
      <c r="F362" s="25"/>
      <c r="J362" s="3" t="s">
        <v>79</v>
      </c>
      <c r="O362" t="e">
        <f>#REF!*D362</f>
        <v>#REF!</v>
      </c>
    </row>
    <row r="363" spans="2:15" ht="75" x14ac:dyDescent="0.25">
      <c r="B363"/>
      <c r="E363" s="25" t="e">
        <f>VLOOKUP(A363,Лист1!$B$1:$Q$28,3,0)</f>
        <v>#N/A</v>
      </c>
      <c r="F363" s="25"/>
      <c r="J363" s="3" t="s">
        <v>79</v>
      </c>
      <c r="O363" t="e">
        <f>#REF!*D363</f>
        <v>#REF!</v>
      </c>
    </row>
    <row r="364" spans="2:15" ht="75" x14ac:dyDescent="0.25">
      <c r="B364"/>
      <c r="E364" s="25" t="e">
        <f>VLOOKUP(A364,Лист1!$B$1:$Q$28,3,0)</f>
        <v>#N/A</v>
      </c>
      <c r="F364" s="25"/>
      <c r="J364" s="3" t="s">
        <v>79</v>
      </c>
      <c r="O364" t="e">
        <f>#REF!*D364</f>
        <v>#REF!</v>
      </c>
    </row>
    <row r="365" spans="2:15" ht="75" x14ac:dyDescent="0.25">
      <c r="B365"/>
      <c r="E365" s="25" t="e">
        <f>VLOOKUP(A365,Лист1!$B$1:$Q$28,3,0)</f>
        <v>#N/A</v>
      </c>
      <c r="F365" s="25"/>
      <c r="J365" s="3" t="s">
        <v>79</v>
      </c>
      <c r="O365" t="e">
        <f>#REF!*D365</f>
        <v>#REF!</v>
      </c>
    </row>
    <row r="366" spans="2:15" ht="75" x14ac:dyDescent="0.25">
      <c r="B366"/>
      <c r="E366" s="25" t="e">
        <f>VLOOKUP(A366,Лист1!$B$1:$Q$28,3,0)</f>
        <v>#N/A</v>
      </c>
      <c r="F366" s="25"/>
      <c r="J366" s="3" t="s">
        <v>79</v>
      </c>
      <c r="O366" t="e">
        <f>#REF!*D366</f>
        <v>#REF!</v>
      </c>
    </row>
    <row r="367" spans="2:15" ht="75" x14ac:dyDescent="0.25">
      <c r="B367"/>
      <c r="E367" s="25" t="e">
        <f>VLOOKUP(A367,Лист1!$B$1:$Q$28,3,0)</f>
        <v>#N/A</v>
      </c>
      <c r="F367" s="25"/>
      <c r="J367" s="3" t="s">
        <v>79</v>
      </c>
      <c r="O367" t="e">
        <f>#REF!*D367</f>
        <v>#REF!</v>
      </c>
    </row>
    <row r="368" spans="2:15" ht="75" x14ac:dyDescent="0.25">
      <c r="B368"/>
      <c r="E368" s="25" t="e">
        <f>VLOOKUP(A368,Лист1!$B$1:$Q$28,3,0)</f>
        <v>#N/A</v>
      </c>
      <c r="F368" s="25"/>
      <c r="J368" s="3" t="s">
        <v>79</v>
      </c>
      <c r="O368" t="e">
        <f>#REF!*D368</f>
        <v>#REF!</v>
      </c>
    </row>
    <row r="369" spans="2:10" ht="75" x14ac:dyDescent="0.25">
      <c r="B369"/>
      <c r="E369" s="25" t="e">
        <f>VLOOKUP(A369,Лист1!$B$1:$Q$28,3,0)</f>
        <v>#N/A</v>
      </c>
      <c r="F369" s="25"/>
      <c r="J369" s="3" t="s">
        <v>79</v>
      </c>
    </row>
    <row r="370" spans="2:10" ht="75" x14ac:dyDescent="0.25">
      <c r="B370"/>
      <c r="E370" s="25" t="e">
        <f>VLOOKUP(A370,Лист1!$B$1:$Q$28,3,0)</f>
        <v>#N/A</v>
      </c>
      <c r="F370" s="25"/>
      <c r="J370" s="3" t="s">
        <v>79</v>
      </c>
    </row>
    <row r="371" spans="2:10" ht="75" x14ac:dyDescent="0.25">
      <c r="B371"/>
      <c r="E371" s="25" t="e">
        <f>VLOOKUP(A371,Лист1!$B$1:$Q$28,3,0)</f>
        <v>#N/A</v>
      </c>
      <c r="F371" s="25"/>
      <c r="J371" s="3" t="s">
        <v>79</v>
      </c>
    </row>
    <row r="372" spans="2:10" ht="75" x14ac:dyDescent="0.25">
      <c r="B372"/>
      <c r="E372" s="25" t="e">
        <f>VLOOKUP(A372,Лист1!$B$1:$Q$28,3,0)</f>
        <v>#N/A</v>
      </c>
      <c r="F372" s="25"/>
      <c r="J372" s="3" t="s">
        <v>79</v>
      </c>
    </row>
    <row r="373" spans="2:10" ht="75" x14ac:dyDescent="0.25">
      <c r="B373"/>
      <c r="E373" s="25" t="e">
        <f>VLOOKUP(A373,Лист1!$B$1:$Q$28,3,0)</f>
        <v>#N/A</v>
      </c>
      <c r="F373" s="25"/>
      <c r="J373" s="3" t="s">
        <v>79</v>
      </c>
    </row>
    <row r="374" spans="2:10" ht="75" x14ac:dyDescent="0.25">
      <c r="B374"/>
      <c r="E374" s="25" t="e">
        <f>VLOOKUP(A374,Лист1!$B$1:$Q$28,3,0)</f>
        <v>#N/A</v>
      </c>
      <c r="F374" s="25"/>
      <c r="J374" s="3" t="s">
        <v>79</v>
      </c>
    </row>
    <row r="375" spans="2:10" ht="75" x14ac:dyDescent="0.25">
      <c r="B375"/>
      <c r="E375" s="25" t="e">
        <f>VLOOKUP(A375,Лист1!$B$1:$Q$28,3,0)</f>
        <v>#N/A</v>
      </c>
      <c r="F375" s="25"/>
      <c r="J375" s="3" t="s">
        <v>79</v>
      </c>
    </row>
    <row r="376" spans="2:10" ht="75" x14ac:dyDescent="0.25">
      <c r="B376"/>
      <c r="E376" s="25" t="e">
        <f>VLOOKUP(A376,Лист1!$B$1:$Q$28,3,0)</f>
        <v>#N/A</v>
      </c>
      <c r="F376" s="25"/>
      <c r="J376" s="3" t="s">
        <v>79</v>
      </c>
    </row>
    <row r="377" spans="2:10" ht="75" x14ac:dyDescent="0.25">
      <c r="B377"/>
      <c r="E377" s="25" t="e">
        <f>VLOOKUP(A377,Лист1!$B$1:$Q$28,3,0)</f>
        <v>#N/A</v>
      </c>
      <c r="F377" s="25"/>
      <c r="J377" s="3" t="s">
        <v>79</v>
      </c>
    </row>
    <row r="378" spans="2:10" ht="75" x14ac:dyDescent="0.25">
      <c r="B378"/>
      <c r="E378" s="25" t="e">
        <f>VLOOKUP(A378,Лист1!$B$1:$Q$28,3,0)</f>
        <v>#N/A</v>
      </c>
      <c r="F378" s="25"/>
      <c r="J378" s="3" t="s">
        <v>79</v>
      </c>
    </row>
    <row r="379" spans="2:10" ht="75" x14ac:dyDescent="0.25">
      <c r="B379"/>
      <c r="C379"/>
      <c r="E379" s="25" t="e">
        <f>VLOOKUP(A379,Лист1!$B$1:$Q$28,3,0)</f>
        <v>#N/A</v>
      </c>
      <c r="F379" s="25"/>
      <c r="G379"/>
      <c r="H379" s="20"/>
      <c r="J379" s="3" t="s">
        <v>79</v>
      </c>
    </row>
    <row r="380" spans="2:10" ht="75" x14ac:dyDescent="0.25">
      <c r="B380"/>
      <c r="C380"/>
      <c r="E380" s="25" t="e">
        <f>VLOOKUP(A380,Лист1!$B$1:$Q$28,3,0)</f>
        <v>#N/A</v>
      </c>
      <c r="F380" s="25"/>
      <c r="G380"/>
      <c r="H380" s="20"/>
      <c r="J380" s="3" t="s">
        <v>79</v>
      </c>
    </row>
    <row r="381" spans="2:10" ht="75" x14ac:dyDescent="0.25">
      <c r="B381"/>
      <c r="C381"/>
      <c r="E381" s="25" t="e">
        <f>VLOOKUP(A381,Лист1!$B$1:$Q$28,3,0)</f>
        <v>#N/A</v>
      </c>
      <c r="F381" s="25"/>
      <c r="G381"/>
      <c r="H381" s="20"/>
      <c r="J381" s="3" t="s">
        <v>79</v>
      </c>
    </row>
    <row r="382" spans="2:10" ht="75" x14ac:dyDescent="0.25">
      <c r="B382"/>
      <c r="C382"/>
      <c r="E382" s="25" t="e">
        <f>VLOOKUP(A382,Лист1!$B$1:$Q$28,3,0)</f>
        <v>#N/A</v>
      </c>
      <c r="F382" s="25"/>
      <c r="G382"/>
      <c r="H382" s="20"/>
      <c r="J382" s="3" t="s">
        <v>79</v>
      </c>
    </row>
    <row r="383" spans="2:10" ht="75" x14ac:dyDescent="0.25">
      <c r="B383"/>
      <c r="C383"/>
      <c r="E383" s="25" t="e">
        <f>VLOOKUP(A383,Лист1!$B$1:$Q$28,3,0)</f>
        <v>#N/A</v>
      </c>
      <c r="F383" s="25"/>
      <c r="G383"/>
      <c r="H383" s="20"/>
      <c r="J383" s="3" t="s">
        <v>79</v>
      </c>
    </row>
    <row r="384" spans="2:10" ht="75" x14ac:dyDescent="0.25">
      <c r="B384"/>
      <c r="C384"/>
      <c r="E384" s="25" t="e">
        <f>VLOOKUP(A384,Лист1!$B$1:$Q$28,3,0)</f>
        <v>#N/A</v>
      </c>
      <c r="F384" s="25"/>
      <c r="G384"/>
      <c r="H384" s="20"/>
      <c r="J384" s="3" t="s">
        <v>79</v>
      </c>
    </row>
    <row r="385" spans="2:10" ht="75" x14ac:dyDescent="0.25">
      <c r="B385"/>
      <c r="C385"/>
      <c r="E385" s="25" t="e">
        <f>VLOOKUP(A385,Лист1!$B$1:$Q$28,3,0)</f>
        <v>#N/A</v>
      </c>
      <c r="F385" s="25"/>
      <c r="G385"/>
      <c r="H385" s="20"/>
      <c r="J385" s="3" t="s">
        <v>79</v>
      </c>
    </row>
    <row r="386" spans="2:10" ht="75" x14ac:dyDescent="0.25">
      <c r="B386"/>
      <c r="C386"/>
      <c r="E386" s="25" t="e">
        <f>VLOOKUP(A386,Лист1!$B$1:$Q$28,3,0)</f>
        <v>#N/A</v>
      </c>
      <c r="F386" s="25"/>
      <c r="G386"/>
      <c r="H386" s="20"/>
      <c r="J386" s="3" t="s">
        <v>79</v>
      </c>
    </row>
    <row r="387" spans="2:10" ht="75" x14ac:dyDescent="0.25">
      <c r="B387"/>
      <c r="C387"/>
      <c r="E387" s="25" t="e">
        <f>VLOOKUP(A387,Лист1!$B$1:$Q$28,3,0)</f>
        <v>#N/A</v>
      </c>
      <c r="F387" s="25"/>
      <c r="G387"/>
      <c r="H387" s="20"/>
      <c r="J387" s="3" t="s">
        <v>79</v>
      </c>
    </row>
    <row r="388" spans="2:10" ht="75" x14ac:dyDescent="0.25">
      <c r="B388"/>
      <c r="C388"/>
      <c r="E388" s="25" t="e">
        <f>VLOOKUP(A388,Лист1!$B$1:$Q$28,3,0)</f>
        <v>#N/A</v>
      </c>
      <c r="F388" s="25"/>
      <c r="G388"/>
      <c r="H388" s="20"/>
      <c r="J388" s="3" t="s">
        <v>79</v>
      </c>
    </row>
    <row r="389" spans="2:10" ht="75" x14ac:dyDescent="0.25">
      <c r="B389"/>
      <c r="C389"/>
      <c r="E389" s="25" t="e">
        <f>VLOOKUP(A389,Лист1!$B$1:$Q$28,3,0)</f>
        <v>#N/A</v>
      </c>
      <c r="F389" s="25"/>
      <c r="G389"/>
      <c r="H389" s="20"/>
      <c r="J389" s="3" t="s">
        <v>79</v>
      </c>
    </row>
    <row r="390" spans="2:10" ht="75" x14ac:dyDescent="0.25">
      <c r="B390"/>
      <c r="C390"/>
      <c r="E390" s="25" t="e">
        <f>VLOOKUP(A390,Лист1!$B$1:$Q$28,3,0)</f>
        <v>#N/A</v>
      </c>
      <c r="F390" s="25"/>
      <c r="G390"/>
      <c r="H390" s="20"/>
      <c r="J390" s="3" t="s">
        <v>79</v>
      </c>
    </row>
    <row r="391" spans="2:10" ht="75" x14ac:dyDescent="0.25">
      <c r="B391"/>
      <c r="C391"/>
      <c r="E391" s="25" t="e">
        <f>VLOOKUP(A391,Лист1!$B$1:$Q$28,3,0)</f>
        <v>#N/A</v>
      </c>
      <c r="F391" s="25"/>
      <c r="G391"/>
      <c r="H391" s="20"/>
      <c r="J391" s="3" t="s">
        <v>79</v>
      </c>
    </row>
    <row r="392" spans="2:10" ht="75" x14ac:dyDescent="0.25">
      <c r="B392"/>
      <c r="C392"/>
      <c r="E392" s="25" t="e">
        <f>VLOOKUP(A392,Лист1!$B$1:$Q$28,3,0)</f>
        <v>#N/A</v>
      </c>
      <c r="F392" s="25"/>
      <c r="G392"/>
      <c r="H392" s="20"/>
      <c r="J392" s="3" t="s">
        <v>79</v>
      </c>
    </row>
    <row r="393" spans="2:10" ht="75" x14ac:dyDescent="0.25">
      <c r="B393"/>
      <c r="C393"/>
      <c r="E393" s="25" t="e">
        <f>VLOOKUP(A393,Лист1!$B$1:$Q$28,3,0)</f>
        <v>#N/A</v>
      </c>
      <c r="F393" s="25"/>
      <c r="G393"/>
      <c r="H393" s="20"/>
      <c r="J393" s="3" t="s">
        <v>79</v>
      </c>
    </row>
    <row r="394" spans="2:10" ht="75" x14ac:dyDescent="0.25">
      <c r="B394"/>
      <c r="C394"/>
      <c r="E394" s="25" t="e">
        <f>VLOOKUP(A394,Лист1!$B$1:$Q$28,3,0)</f>
        <v>#N/A</v>
      </c>
      <c r="F394" s="25"/>
      <c r="G394"/>
      <c r="H394" s="20"/>
      <c r="J394" s="3" t="s">
        <v>79</v>
      </c>
    </row>
    <row r="395" spans="2:10" ht="75" x14ac:dyDescent="0.25">
      <c r="B395"/>
      <c r="C395"/>
      <c r="E395" s="25" t="e">
        <f>VLOOKUP(A395,Лист1!$B$1:$Q$28,3,0)</f>
        <v>#N/A</v>
      </c>
      <c r="F395" s="25"/>
      <c r="G395"/>
      <c r="H395" s="20"/>
      <c r="J395" s="3" t="s">
        <v>79</v>
      </c>
    </row>
    <row r="396" spans="2:10" ht="75" x14ac:dyDescent="0.25">
      <c r="B396"/>
      <c r="C396"/>
      <c r="E396" s="25" t="e">
        <f>VLOOKUP(A396,Лист1!$B$1:$Q$28,3,0)</f>
        <v>#N/A</v>
      </c>
      <c r="F396" s="25"/>
      <c r="G396"/>
      <c r="H396" s="20"/>
      <c r="J396" s="3" t="s">
        <v>79</v>
      </c>
    </row>
    <row r="397" spans="2:10" ht="75" x14ac:dyDescent="0.25">
      <c r="B397"/>
      <c r="C397"/>
      <c r="E397" s="25" t="e">
        <f>VLOOKUP(A397,Лист1!$B$1:$Q$28,3,0)</f>
        <v>#N/A</v>
      </c>
      <c r="F397" s="25"/>
      <c r="G397"/>
      <c r="H397" s="20"/>
      <c r="J397" s="3" t="s">
        <v>79</v>
      </c>
    </row>
    <row r="398" spans="2:10" ht="75" x14ac:dyDescent="0.25">
      <c r="B398"/>
      <c r="C398"/>
      <c r="E398" s="25" t="e">
        <f>VLOOKUP(A398,Лист1!$B$1:$Q$28,3,0)</f>
        <v>#N/A</v>
      </c>
      <c r="F398" s="25"/>
      <c r="G398"/>
      <c r="H398" s="20"/>
      <c r="J398" s="3" t="s">
        <v>79</v>
      </c>
    </row>
    <row r="399" spans="2:10" ht="75" x14ac:dyDescent="0.25">
      <c r="B399"/>
      <c r="C399"/>
      <c r="E399" s="25" t="e">
        <f>VLOOKUP(A399,Лист1!$B$1:$Q$28,3,0)</f>
        <v>#N/A</v>
      </c>
      <c r="F399" s="25"/>
      <c r="G399"/>
      <c r="H399" s="20"/>
      <c r="J399" s="3" t="s">
        <v>79</v>
      </c>
    </row>
    <row r="400" spans="2:10" ht="75" x14ac:dyDescent="0.25">
      <c r="B400"/>
      <c r="C400"/>
      <c r="E400" s="25" t="e">
        <f>VLOOKUP(A400,Лист1!$B$1:$Q$28,3,0)</f>
        <v>#N/A</v>
      </c>
      <c r="F400" s="25"/>
      <c r="G400"/>
      <c r="H400" s="20"/>
      <c r="J400" s="3" t="s">
        <v>79</v>
      </c>
    </row>
    <row r="401" spans="2:10" ht="75" x14ac:dyDescent="0.25">
      <c r="B401"/>
      <c r="C401"/>
      <c r="E401" s="25" t="e">
        <f>VLOOKUP(A401,Лист1!$B$1:$Q$28,3,0)</f>
        <v>#N/A</v>
      </c>
      <c r="F401" s="25"/>
      <c r="G401"/>
      <c r="H401" s="20"/>
      <c r="J401" s="3" t="s">
        <v>79</v>
      </c>
    </row>
    <row r="402" spans="2:10" ht="75" x14ac:dyDescent="0.25">
      <c r="B402"/>
      <c r="C402"/>
      <c r="E402" s="25" t="e">
        <f>VLOOKUP(A402,Лист1!$B$1:$Q$28,3,0)</f>
        <v>#N/A</v>
      </c>
      <c r="F402" s="25"/>
      <c r="G402"/>
      <c r="H402" s="20"/>
      <c r="J402" s="3" t="s">
        <v>79</v>
      </c>
    </row>
    <row r="403" spans="2:10" ht="75" x14ac:dyDescent="0.25">
      <c r="B403"/>
      <c r="C403"/>
      <c r="E403" s="25" t="e">
        <f>VLOOKUP(A403,Лист1!$B$1:$Q$28,3,0)</f>
        <v>#N/A</v>
      </c>
      <c r="F403" s="25"/>
      <c r="G403"/>
      <c r="H403" s="20"/>
      <c r="J403" s="3" t="s">
        <v>79</v>
      </c>
    </row>
    <row r="404" spans="2:10" ht="75" x14ac:dyDescent="0.25">
      <c r="B404"/>
      <c r="C404"/>
      <c r="E404" s="25" t="e">
        <f>VLOOKUP(A404,Лист1!$B$1:$Q$28,3,0)</f>
        <v>#N/A</v>
      </c>
      <c r="F404" s="25"/>
      <c r="G404"/>
      <c r="H404" s="20"/>
      <c r="J404" s="3" t="s">
        <v>79</v>
      </c>
    </row>
    <row r="405" spans="2:10" ht="75" x14ac:dyDescent="0.25">
      <c r="B405"/>
      <c r="C405"/>
      <c r="E405" s="25" t="e">
        <f>VLOOKUP(A405,Лист1!$B$1:$Q$28,3,0)</f>
        <v>#N/A</v>
      </c>
      <c r="F405" s="25"/>
      <c r="G405"/>
      <c r="H405" s="20"/>
      <c r="J405" s="3" t="s">
        <v>79</v>
      </c>
    </row>
    <row r="406" spans="2:10" ht="75" x14ac:dyDescent="0.25">
      <c r="B406"/>
      <c r="C406"/>
      <c r="E406" s="25" t="e">
        <f>VLOOKUP(A406,Лист1!$B$1:$Q$28,3,0)</f>
        <v>#N/A</v>
      </c>
      <c r="F406" s="25"/>
      <c r="G406"/>
      <c r="H406" s="20"/>
      <c r="J406" s="3" t="s">
        <v>79</v>
      </c>
    </row>
    <row r="407" spans="2:10" ht="75" x14ac:dyDescent="0.25">
      <c r="B407"/>
      <c r="C407"/>
      <c r="E407" s="25" t="e">
        <f>VLOOKUP(A407,Лист1!$B$1:$Q$28,3,0)</f>
        <v>#N/A</v>
      </c>
      <c r="F407" s="25"/>
      <c r="G407"/>
      <c r="H407" s="20"/>
      <c r="J407" s="3" t="s">
        <v>79</v>
      </c>
    </row>
    <row r="408" spans="2:10" ht="75" x14ac:dyDescent="0.25">
      <c r="B408"/>
      <c r="C408"/>
      <c r="E408" s="25" t="e">
        <f>VLOOKUP(A408,Лист1!$B$1:$Q$28,3,0)</f>
        <v>#N/A</v>
      </c>
      <c r="F408" s="25"/>
      <c r="G408"/>
      <c r="H408" s="20"/>
      <c r="J408" s="3" t="s">
        <v>79</v>
      </c>
    </row>
    <row r="409" spans="2:10" ht="75" x14ac:dyDescent="0.25">
      <c r="B409"/>
      <c r="C409"/>
      <c r="E409" s="25" t="e">
        <f>VLOOKUP(A409,Лист1!$B$1:$Q$28,3,0)</f>
        <v>#N/A</v>
      </c>
      <c r="F409" s="25"/>
      <c r="G409"/>
      <c r="H409" s="20"/>
      <c r="J409" s="3" t="s">
        <v>79</v>
      </c>
    </row>
    <row r="410" spans="2:10" ht="75" x14ac:dyDescent="0.25">
      <c r="B410"/>
      <c r="C410"/>
      <c r="E410" s="25" t="e">
        <f>VLOOKUP(A410,Лист1!$B$1:$Q$28,3,0)</f>
        <v>#N/A</v>
      </c>
      <c r="F410" s="25"/>
      <c r="G410"/>
      <c r="H410" s="20"/>
      <c r="J410" s="3" t="s">
        <v>79</v>
      </c>
    </row>
    <row r="411" spans="2:10" ht="75" x14ac:dyDescent="0.25">
      <c r="B411"/>
      <c r="C411"/>
      <c r="E411" s="25" t="e">
        <f>VLOOKUP(A411,Лист1!$B$1:$Q$28,3,0)</f>
        <v>#N/A</v>
      </c>
      <c r="F411" s="25"/>
      <c r="G411"/>
      <c r="H411" s="20"/>
      <c r="J411" s="3" t="s">
        <v>79</v>
      </c>
    </row>
    <row r="412" spans="2:10" ht="75" x14ac:dyDescent="0.25">
      <c r="B412"/>
      <c r="C412"/>
      <c r="E412" s="25" t="e">
        <f>VLOOKUP(A412,Лист1!$B$1:$Q$28,3,0)</f>
        <v>#N/A</v>
      </c>
      <c r="F412" s="25"/>
      <c r="G412"/>
      <c r="H412" s="20"/>
      <c r="J412" s="3" t="s">
        <v>79</v>
      </c>
    </row>
    <row r="413" spans="2:10" ht="75" x14ac:dyDescent="0.25">
      <c r="B413"/>
      <c r="C413"/>
      <c r="E413" s="25" t="e">
        <f>VLOOKUP(A413,Лист1!$B$1:$Q$28,3,0)</f>
        <v>#N/A</v>
      </c>
      <c r="F413" s="25"/>
      <c r="G413"/>
      <c r="H413" s="20"/>
      <c r="J413" s="3" t="s">
        <v>79</v>
      </c>
    </row>
    <row r="414" spans="2:10" ht="75" x14ac:dyDescent="0.25">
      <c r="B414"/>
      <c r="C414"/>
      <c r="E414" s="25" t="e">
        <f>VLOOKUP(A414,Лист1!$B$1:$Q$28,3,0)</f>
        <v>#N/A</v>
      </c>
      <c r="F414" s="25"/>
      <c r="G414"/>
      <c r="H414" s="20"/>
      <c r="J414" s="3" t="s">
        <v>79</v>
      </c>
    </row>
    <row r="415" spans="2:10" ht="75" x14ac:dyDescent="0.25">
      <c r="B415"/>
      <c r="C415"/>
      <c r="E415" s="25" t="e">
        <f>VLOOKUP(A415,Лист1!$B$1:$Q$28,3,0)</f>
        <v>#N/A</v>
      </c>
      <c r="F415" s="25"/>
      <c r="G415"/>
      <c r="H415" s="20"/>
      <c r="J415" s="3" t="s">
        <v>79</v>
      </c>
    </row>
    <row r="416" spans="2:10" ht="75" x14ac:dyDescent="0.25">
      <c r="B416"/>
      <c r="C416"/>
      <c r="E416" s="25" t="e">
        <f>VLOOKUP(A416,Лист1!$B$1:$Q$28,3,0)</f>
        <v>#N/A</v>
      </c>
      <c r="F416" s="25"/>
      <c r="G416"/>
      <c r="H416" s="20"/>
      <c r="J416" s="3" t="s">
        <v>79</v>
      </c>
    </row>
    <row r="417" spans="2:10" ht="75" x14ac:dyDescent="0.25">
      <c r="B417"/>
      <c r="C417"/>
      <c r="E417" s="25" t="e">
        <f>VLOOKUP(A417,Лист1!$B$1:$Q$28,3,0)</f>
        <v>#N/A</v>
      </c>
      <c r="F417" s="25"/>
      <c r="G417"/>
      <c r="H417" s="20"/>
      <c r="J417" s="3" t="s">
        <v>79</v>
      </c>
    </row>
    <row r="418" spans="2:10" ht="75" x14ac:dyDescent="0.25">
      <c r="B418"/>
      <c r="C418"/>
      <c r="E418" s="25" t="e">
        <f>VLOOKUP(A418,Лист1!$B$1:$Q$28,3,0)</f>
        <v>#N/A</v>
      </c>
      <c r="F418" s="25"/>
      <c r="G418"/>
      <c r="H418" s="20"/>
      <c r="J418" s="3" t="s">
        <v>79</v>
      </c>
    </row>
    <row r="419" spans="2:10" ht="75" x14ac:dyDescent="0.25">
      <c r="B419"/>
      <c r="C419"/>
      <c r="E419" s="25" t="e">
        <f>VLOOKUP(A419,Лист1!$B$1:$Q$28,3,0)</f>
        <v>#N/A</v>
      </c>
      <c r="F419" s="25"/>
      <c r="G419"/>
      <c r="H419" s="20"/>
      <c r="J419" s="3" t="s">
        <v>79</v>
      </c>
    </row>
    <row r="420" spans="2:10" ht="75" x14ac:dyDescent="0.25">
      <c r="B420"/>
      <c r="C420"/>
      <c r="E420" s="25" t="e">
        <f>VLOOKUP(A420,Лист1!$B$1:$Q$28,3,0)</f>
        <v>#N/A</v>
      </c>
      <c r="F420" s="25"/>
      <c r="G420"/>
      <c r="H420" s="20"/>
      <c r="J420" s="3" t="s">
        <v>79</v>
      </c>
    </row>
    <row r="421" spans="2:10" ht="75" x14ac:dyDescent="0.25">
      <c r="B421"/>
      <c r="C421"/>
      <c r="E421" s="25" t="e">
        <f>VLOOKUP(A421,Лист1!$B$1:$Q$28,3,0)</f>
        <v>#N/A</v>
      </c>
      <c r="F421" s="25"/>
      <c r="G421"/>
      <c r="H421" s="20"/>
      <c r="J421" s="3" t="s">
        <v>79</v>
      </c>
    </row>
    <row r="422" spans="2:10" ht="75" x14ac:dyDescent="0.25">
      <c r="B422"/>
      <c r="C422"/>
      <c r="E422" s="25" t="e">
        <f>VLOOKUP(A422,Лист1!$B$1:$Q$28,3,0)</f>
        <v>#N/A</v>
      </c>
      <c r="F422" s="25"/>
      <c r="G422"/>
      <c r="H422" s="20"/>
      <c r="J422" s="3" t="s">
        <v>79</v>
      </c>
    </row>
    <row r="423" spans="2:10" ht="75" x14ac:dyDescent="0.25">
      <c r="B423"/>
      <c r="C423"/>
      <c r="E423" s="25" t="e">
        <f>VLOOKUP(A423,Лист1!$B$1:$Q$28,3,0)</f>
        <v>#N/A</v>
      </c>
      <c r="F423" s="25"/>
      <c r="G423"/>
      <c r="H423" s="20"/>
      <c r="J423" s="3" t="s">
        <v>79</v>
      </c>
    </row>
    <row r="424" spans="2:10" ht="75" x14ac:dyDescent="0.25">
      <c r="B424"/>
      <c r="C424"/>
      <c r="E424" s="25" t="e">
        <f>VLOOKUP(A424,Лист1!$B$1:$Q$28,3,0)</f>
        <v>#N/A</v>
      </c>
      <c r="F424" s="25"/>
      <c r="G424"/>
      <c r="H424" s="20"/>
      <c r="J424" s="3" t="s">
        <v>79</v>
      </c>
    </row>
    <row r="425" spans="2:10" ht="75" x14ac:dyDescent="0.25">
      <c r="B425"/>
      <c r="C425"/>
      <c r="E425" s="25" t="e">
        <f>VLOOKUP(A425,Лист1!$B$1:$Q$28,3,0)</f>
        <v>#N/A</v>
      </c>
      <c r="F425" s="25"/>
      <c r="G425"/>
      <c r="H425" s="20"/>
      <c r="J425" s="3" t="s">
        <v>79</v>
      </c>
    </row>
    <row r="426" spans="2:10" ht="75" x14ac:dyDescent="0.25">
      <c r="B426"/>
      <c r="C426"/>
      <c r="E426" s="25" t="e">
        <f>VLOOKUP(A426,Лист1!$B$1:$Q$28,3,0)</f>
        <v>#N/A</v>
      </c>
      <c r="F426" s="25"/>
      <c r="G426"/>
      <c r="H426" s="20"/>
      <c r="J426" s="3" t="s">
        <v>79</v>
      </c>
    </row>
    <row r="427" spans="2:10" ht="75" x14ac:dyDescent="0.25">
      <c r="B427"/>
      <c r="C427"/>
      <c r="E427" s="25" t="e">
        <f>VLOOKUP(A427,Лист1!$B$1:$Q$28,3,0)</f>
        <v>#N/A</v>
      </c>
      <c r="F427" s="25"/>
      <c r="G427"/>
      <c r="H427" s="20"/>
      <c r="J427" s="3" t="s">
        <v>79</v>
      </c>
    </row>
    <row r="428" spans="2:10" ht="75" x14ac:dyDescent="0.25">
      <c r="B428"/>
      <c r="C428"/>
      <c r="E428" s="25" t="e">
        <f>VLOOKUP(A428,Лист1!$B$1:$Q$28,3,0)</f>
        <v>#N/A</v>
      </c>
      <c r="F428" s="25"/>
      <c r="G428"/>
      <c r="H428" s="20"/>
      <c r="J428" s="3" t="s">
        <v>79</v>
      </c>
    </row>
    <row r="429" spans="2:10" ht="75" x14ac:dyDescent="0.25">
      <c r="B429"/>
      <c r="C429"/>
      <c r="E429" s="25" t="e">
        <f>VLOOKUP(A429,Лист1!$B$1:$Q$28,3,0)</f>
        <v>#N/A</v>
      </c>
      <c r="F429" s="25"/>
      <c r="G429"/>
      <c r="H429" s="20"/>
      <c r="J429" s="3" t="s">
        <v>79</v>
      </c>
    </row>
    <row r="430" spans="2:10" ht="75" x14ac:dyDescent="0.25">
      <c r="B430"/>
      <c r="C430"/>
      <c r="E430" s="25" t="e">
        <f>VLOOKUP(A430,Лист1!$B$1:$Q$28,3,0)</f>
        <v>#N/A</v>
      </c>
      <c r="F430" s="25"/>
      <c r="G430"/>
      <c r="H430" s="20"/>
      <c r="J430" s="3" t="s">
        <v>79</v>
      </c>
    </row>
    <row r="431" spans="2:10" ht="75" x14ac:dyDescent="0.25">
      <c r="B431"/>
      <c r="C431"/>
      <c r="E431" s="25" t="e">
        <f>VLOOKUP(A431,Лист1!$B$1:$Q$28,3,0)</f>
        <v>#N/A</v>
      </c>
      <c r="F431" s="25"/>
      <c r="G431"/>
      <c r="H431" s="20"/>
      <c r="J431" s="3" t="s">
        <v>79</v>
      </c>
    </row>
    <row r="432" spans="2:10" ht="75" x14ac:dyDescent="0.25">
      <c r="B432"/>
      <c r="C432"/>
      <c r="E432" s="25" t="e">
        <f>VLOOKUP(A432,Лист1!$B$1:$Q$28,3,0)</f>
        <v>#N/A</v>
      </c>
      <c r="F432" s="25"/>
      <c r="G432"/>
      <c r="H432" s="20"/>
      <c r="J432" s="3" t="s">
        <v>79</v>
      </c>
    </row>
    <row r="433" spans="2:10" ht="75" x14ac:dyDescent="0.25">
      <c r="B433"/>
      <c r="C433"/>
      <c r="E433" s="25" t="e">
        <f>VLOOKUP(A433,Лист1!$B$1:$Q$28,3,0)</f>
        <v>#N/A</v>
      </c>
      <c r="F433" s="25"/>
      <c r="G433"/>
      <c r="H433" s="20"/>
      <c r="J433" s="3" t="s">
        <v>79</v>
      </c>
    </row>
    <row r="434" spans="2:10" ht="75" x14ac:dyDescent="0.25">
      <c r="B434"/>
      <c r="C434"/>
      <c r="E434" s="25" t="e">
        <f>VLOOKUP(A434,Лист1!$B$1:$Q$28,3,0)</f>
        <v>#N/A</v>
      </c>
      <c r="F434" s="25"/>
      <c r="G434"/>
      <c r="H434" s="20"/>
      <c r="J434" s="3" t="s">
        <v>79</v>
      </c>
    </row>
    <row r="435" spans="2:10" ht="75" x14ac:dyDescent="0.25">
      <c r="B435"/>
      <c r="C435"/>
      <c r="E435" s="25" t="e">
        <f>VLOOKUP(A435,Лист1!$B$1:$Q$28,3,0)</f>
        <v>#N/A</v>
      </c>
      <c r="F435" s="25"/>
      <c r="G435"/>
      <c r="H435" s="20"/>
      <c r="J435" s="3" t="s">
        <v>79</v>
      </c>
    </row>
    <row r="436" spans="2:10" ht="75" x14ac:dyDescent="0.25">
      <c r="B436"/>
      <c r="C436"/>
      <c r="E436" s="25" t="e">
        <f>VLOOKUP(A436,Лист1!$B$1:$Q$28,3,0)</f>
        <v>#N/A</v>
      </c>
      <c r="F436" s="25"/>
      <c r="G436"/>
      <c r="H436" s="20"/>
      <c r="J436" s="3" t="s">
        <v>79</v>
      </c>
    </row>
    <row r="437" spans="2:10" ht="75" x14ac:dyDescent="0.25">
      <c r="B437"/>
      <c r="C437"/>
      <c r="E437" s="25" t="e">
        <f>VLOOKUP(A437,Лист1!$B$1:$Q$28,3,0)</f>
        <v>#N/A</v>
      </c>
      <c r="F437" s="25"/>
      <c r="G437"/>
      <c r="H437" s="20"/>
      <c r="J437" s="3" t="s">
        <v>79</v>
      </c>
    </row>
    <row r="438" spans="2:10" ht="75" x14ac:dyDescent="0.25">
      <c r="B438"/>
      <c r="C438"/>
      <c r="E438" s="25" t="e">
        <f>VLOOKUP(A438,Лист1!$B$1:$Q$28,3,0)</f>
        <v>#N/A</v>
      </c>
      <c r="F438" s="25"/>
      <c r="G438"/>
      <c r="H438" s="20"/>
      <c r="J438" s="3" t="s">
        <v>79</v>
      </c>
    </row>
    <row r="439" spans="2:10" ht="75" x14ac:dyDescent="0.25">
      <c r="B439"/>
      <c r="C439"/>
      <c r="E439" s="25" t="e">
        <f>VLOOKUP(A439,Лист1!$B$1:$Q$28,3,0)</f>
        <v>#N/A</v>
      </c>
      <c r="F439" s="25"/>
      <c r="G439"/>
      <c r="H439" s="20"/>
      <c r="J439" s="3" t="s">
        <v>79</v>
      </c>
    </row>
    <row r="440" spans="2:10" ht="75" x14ac:dyDescent="0.25">
      <c r="B440"/>
      <c r="C440"/>
      <c r="E440" s="25" t="e">
        <f>VLOOKUP(A440,Лист1!$B$1:$Q$28,3,0)</f>
        <v>#N/A</v>
      </c>
      <c r="F440" s="25"/>
      <c r="G440"/>
      <c r="H440" s="20"/>
      <c r="J440" s="3" t="s">
        <v>79</v>
      </c>
    </row>
    <row r="441" spans="2:10" x14ac:dyDescent="0.25">
      <c r="B441"/>
      <c r="C441"/>
      <c r="E441" s="25" t="e">
        <f>VLOOKUP(A441,Лист1!$B$1:$Q$28,3,0)</f>
        <v>#N/A</v>
      </c>
      <c r="F441" s="25"/>
      <c r="G441"/>
      <c r="H441" s="20"/>
      <c r="J441" s="3"/>
    </row>
    <row r="442" spans="2:10" x14ac:dyDescent="0.25">
      <c r="B442"/>
      <c r="C442"/>
      <c r="E442" s="25" t="e">
        <f>VLOOKUP(A442,Лист1!$B$1:$Q$28,3,0)</f>
        <v>#N/A</v>
      </c>
      <c r="F442" s="25"/>
      <c r="G442"/>
      <c r="H442" s="20"/>
      <c r="J442" s="3"/>
    </row>
    <row r="443" spans="2:10" x14ac:dyDescent="0.25">
      <c r="B443"/>
      <c r="C443"/>
      <c r="E443" s="25" t="e">
        <f>VLOOKUP(A443,Лист1!$B$1:$Q$28,3,0)</f>
        <v>#N/A</v>
      </c>
      <c r="F443" s="25"/>
      <c r="G443"/>
      <c r="H443" s="20"/>
      <c r="J443" s="3"/>
    </row>
    <row r="444" spans="2:10" x14ac:dyDescent="0.25">
      <c r="B444"/>
      <c r="C444"/>
      <c r="E444" s="25" t="e">
        <f>VLOOKUP(A444,Лист1!$B$1:$Q$28,3,0)</f>
        <v>#N/A</v>
      </c>
      <c r="F444" s="25"/>
      <c r="G444"/>
      <c r="H444" s="20"/>
      <c r="J444" s="3"/>
    </row>
    <row r="445" spans="2:10" x14ac:dyDescent="0.25">
      <c r="B445"/>
      <c r="C445"/>
      <c r="E445" s="25" t="e">
        <f>VLOOKUP(A445,Лист1!$B$1:$Q$28,3,0)</f>
        <v>#N/A</v>
      </c>
      <c r="F445" s="25"/>
      <c r="G445"/>
      <c r="H445" s="20"/>
      <c r="J445" s="3"/>
    </row>
    <row r="446" spans="2:10" x14ac:dyDescent="0.25">
      <c r="B446"/>
      <c r="C446"/>
      <c r="E446" s="25" t="e">
        <f>VLOOKUP(A446,Лист1!$B$1:$Q$28,3,0)</f>
        <v>#N/A</v>
      </c>
      <c r="F446" s="25"/>
      <c r="G446"/>
      <c r="H446" s="20"/>
      <c r="J446" s="3"/>
    </row>
    <row r="447" spans="2:10" x14ac:dyDescent="0.25">
      <c r="B447"/>
      <c r="C447"/>
      <c r="F447" s="25"/>
      <c r="G447"/>
      <c r="H447" s="20"/>
    </row>
    <row r="448" spans="2:10" x14ac:dyDescent="0.25">
      <c r="B448"/>
      <c r="C448"/>
      <c r="F448" s="25"/>
      <c r="G448"/>
      <c r="H448" s="20"/>
    </row>
    <row r="449" spans="2:8" x14ac:dyDescent="0.25">
      <c r="B449"/>
      <c r="C449"/>
      <c r="F449" s="25"/>
      <c r="G449"/>
      <c r="H449" s="20"/>
    </row>
    <row r="450" spans="2:8" x14ac:dyDescent="0.25">
      <c r="B450"/>
      <c r="C450"/>
      <c r="F450" s="25"/>
      <c r="G450"/>
      <c r="H450" s="20"/>
    </row>
    <row r="451" spans="2:8" x14ac:dyDescent="0.25">
      <c r="B451"/>
      <c r="C451"/>
      <c r="F451" s="25"/>
      <c r="G451"/>
      <c r="H451" s="20"/>
    </row>
    <row r="452" spans="2:8" x14ac:dyDescent="0.25">
      <c r="B452"/>
      <c r="C452"/>
      <c r="F452" s="25"/>
      <c r="G452"/>
      <c r="H452" s="20"/>
    </row>
    <row r="453" spans="2:8" x14ac:dyDescent="0.25">
      <c r="B453"/>
      <c r="C453"/>
      <c r="F453" s="25"/>
      <c r="G453"/>
      <c r="H453" s="20"/>
    </row>
    <row r="454" spans="2:8" x14ac:dyDescent="0.25">
      <c r="B454"/>
      <c r="C454"/>
      <c r="F454" s="25"/>
      <c r="G454"/>
      <c r="H454" s="20"/>
    </row>
    <row r="455" spans="2:8" x14ac:dyDescent="0.25">
      <c r="B455"/>
      <c r="C455"/>
      <c r="F455" s="25"/>
      <c r="G455"/>
      <c r="H455" s="20"/>
    </row>
    <row r="456" spans="2:8" x14ac:dyDescent="0.25">
      <c r="B456"/>
      <c r="C456"/>
      <c r="F456" s="25"/>
      <c r="G456"/>
      <c r="H456" s="20"/>
    </row>
    <row r="457" spans="2:8" x14ac:dyDescent="0.25">
      <c r="B457"/>
      <c r="C457"/>
      <c r="F457" s="25"/>
      <c r="G457"/>
      <c r="H457" s="20"/>
    </row>
    <row r="458" spans="2:8" x14ac:dyDescent="0.25">
      <c r="B458"/>
      <c r="C458"/>
      <c r="F458" s="25"/>
      <c r="G458"/>
      <c r="H458" s="20"/>
    </row>
    <row r="459" spans="2:8" x14ac:dyDescent="0.25">
      <c r="B459"/>
      <c r="C459"/>
      <c r="F459" s="25"/>
      <c r="G459"/>
      <c r="H459" s="20"/>
    </row>
    <row r="460" spans="2:8" x14ac:dyDescent="0.25">
      <c r="B460"/>
      <c r="C460"/>
      <c r="F460" s="25"/>
      <c r="G460"/>
      <c r="H460" s="20"/>
    </row>
    <row r="461" spans="2:8" x14ac:dyDescent="0.25">
      <c r="B461"/>
      <c r="C461"/>
      <c r="F461" s="25"/>
      <c r="G461"/>
      <c r="H461" s="20"/>
    </row>
    <row r="462" spans="2:8" x14ac:dyDescent="0.25">
      <c r="B462"/>
      <c r="C462"/>
      <c r="F462" s="25"/>
      <c r="G462"/>
      <c r="H462" s="20"/>
    </row>
    <row r="463" spans="2:8" x14ac:dyDescent="0.25">
      <c r="B463"/>
      <c r="C463"/>
      <c r="F463" s="25"/>
      <c r="G463"/>
      <c r="H463" s="20"/>
    </row>
    <row r="464" spans="2:8" x14ac:dyDescent="0.25">
      <c r="B464"/>
      <c r="C464"/>
      <c r="F464" s="25"/>
      <c r="G464"/>
      <c r="H464" s="20"/>
    </row>
    <row r="465" spans="2:8" x14ac:dyDescent="0.25">
      <c r="B465"/>
      <c r="C465"/>
      <c r="F465" s="25"/>
      <c r="G465"/>
      <c r="H465" s="20"/>
    </row>
    <row r="466" spans="2:8" x14ac:dyDescent="0.25">
      <c r="B466"/>
      <c r="C466"/>
      <c r="F466" s="25"/>
      <c r="G466"/>
      <c r="H466" s="20"/>
    </row>
    <row r="467" spans="2:8" x14ac:dyDescent="0.25">
      <c r="B467"/>
      <c r="C467"/>
      <c r="F467" s="25"/>
      <c r="G467"/>
      <c r="H467" s="20"/>
    </row>
    <row r="468" spans="2:8" x14ac:dyDescent="0.25">
      <c r="B468"/>
      <c r="C468"/>
      <c r="F468" s="25"/>
      <c r="G468"/>
      <c r="H468" s="20"/>
    </row>
    <row r="469" spans="2:8" x14ac:dyDescent="0.25">
      <c r="B469"/>
      <c r="C469"/>
      <c r="F469" s="25"/>
      <c r="G469"/>
      <c r="H469" s="20"/>
    </row>
    <row r="470" spans="2:8" x14ac:dyDescent="0.25">
      <c r="B470"/>
      <c r="C470"/>
      <c r="F470" s="25"/>
      <c r="G470"/>
      <c r="H470" s="20"/>
    </row>
    <row r="471" spans="2:8" x14ac:dyDescent="0.25">
      <c r="B471"/>
      <c r="C471"/>
      <c r="F471" s="25"/>
      <c r="G471"/>
      <c r="H471" s="20"/>
    </row>
    <row r="472" spans="2:8" x14ac:dyDescent="0.25">
      <c r="B472"/>
      <c r="C472"/>
      <c r="F472" s="25"/>
      <c r="G472"/>
      <c r="H472" s="20"/>
    </row>
    <row r="473" spans="2:8" x14ac:dyDescent="0.25">
      <c r="B473"/>
      <c r="C473"/>
      <c r="F473" s="25"/>
      <c r="G473"/>
      <c r="H473" s="20"/>
    </row>
    <row r="474" spans="2:8" x14ac:dyDescent="0.25">
      <c r="B474"/>
      <c r="C474"/>
      <c r="F474" s="25"/>
      <c r="G474"/>
      <c r="H474" s="20"/>
    </row>
    <row r="475" spans="2:8" x14ac:dyDescent="0.25">
      <c r="B475"/>
      <c r="C475"/>
      <c r="F475" s="25"/>
      <c r="G475"/>
      <c r="H475" s="20"/>
    </row>
    <row r="476" spans="2:8" x14ac:dyDescent="0.25">
      <c r="B476"/>
      <c r="C476"/>
      <c r="F476" s="25"/>
      <c r="G476"/>
      <c r="H476" s="20"/>
    </row>
    <row r="477" spans="2:8" x14ac:dyDescent="0.25">
      <c r="B477"/>
      <c r="C477"/>
      <c r="F477" s="25"/>
      <c r="G477"/>
      <c r="H477" s="20"/>
    </row>
    <row r="478" spans="2:8" x14ac:dyDescent="0.25">
      <c r="B478"/>
      <c r="C478"/>
      <c r="F478" s="25"/>
      <c r="G478"/>
      <c r="H478" s="20"/>
    </row>
    <row r="479" spans="2:8" x14ac:dyDescent="0.25">
      <c r="B479"/>
      <c r="C479"/>
      <c r="F479" s="25"/>
      <c r="G479"/>
      <c r="H479" s="20"/>
    </row>
    <row r="480" spans="2:8" x14ac:dyDescent="0.25">
      <c r="B480"/>
      <c r="C480"/>
      <c r="F480" s="25"/>
      <c r="G480"/>
      <c r="H480" s="20"/>
    </row>
    <row r="481" spans="2:8" x14ac:dyDescent="0.25">
      <c r="B481"/>
      <c r="C481"/>
      <c r="F481" s="25"/>
      <c r="G481"/>
      <c r="H481" s="20"/>
    </row>
    <row r="482" spans="2:8" x14ac:dyDescent="0.25">
      <c r="B482"/>
      <c r="C482"/>
      <c r="F482" s="25"/>
      <c r="G482"/>
      <c r="H482" s="20"/>
    </row>
    <row r="483" spans="2:8" x14ac:dyDescent="0.25">
      <c r="B483"/>
      <c r="C483"/>
      <c r="F483" s="25"/>
      <c r="G483"/>
      <c r="H483" s="20"/>
    </row>
    <row r="484" spans="2:8" x14ac:dyDescent="0.25">
      <c r="B484"/>
      <c r="C484"/>
      <c r="F484" s="25"/>
      <c r="G484"/>
      <c r="H484" s="20"/>
    </row>
    <row r="485" spans="2:8" x14ac:dyDescent="0.25">
      <c r="B485"/>
      <c r="C485"/>
      <c r="F485" s="25"/>
      <c r="G485"/>
      <c r="H485" s="20"/>
    </row>
    <row r="486" spans="2:8" x14ac:dyDescent="0.25">
      <c r="B486"/>
      <c r="C486"/>
      <c r="F486" s="25"/>
      <c r="G486"/>
      <c r="H486" s="20"/>
    </row>
    <row r="487" spans="2:8" x14ac:dyDescent="0.25">
      <c r="B487"/>
      <c r="C487"/>
      <c r="F487" s="25"/>
      <c r="G487"/>
      <c r="H487" s="20"/>
    </row>
    <row r="488" spans="2:8" x14ac:dyDescent="0.25">
      <c r="B488"/>
      <c r="C488"/>
      <c r="F488" s="25"/>
      <c r="G488"/>
      <c r="H488" s="20"/>
    </row>
    <row r="489" spans="2:8" x14ac:dyDescent="0.25">
      <c r="B489"/>
      <c r="C489"/>
      <c r="F489" s="25"/>
      <c r="G489"/>
      <c r="H489" s="20"/>
    </row>
    <row r="490" spans="2:8" x14ac:dyDescent="0.25">
      <c r="B490"/>
      <c r="C490"/>
      <c r="F490" s="25"/>
      <c r="G490"/>
      <c r="H490" s="20"/>
    </row>
    <row r="491" spans="2:8" x14ac:dyDescent="0.25">
      <c r="B491"/>
      <c r="C491"/>
      <c r="F491" s="25"/>
      <c r="G491"/>
      <c r="H491" s="20"/>
    </row>
    <row r="492" spans="2:8" x14ac:dyDescent="0.25">
      <c r="B492"/>
      <c r="C492"/>
      <c r="F492" s="25"/>
      <c r="G492"/>
      <c r="H492" s="20"/>
    </row>
    <row r="493" spans="2:8" x14ac:dyDescent="0.25">
      <c r="B493"/>
      <c r="C493"/>
      <c r="F493" s="25"/>
      <c r="G493"/>
      <c r="H493" s="20"/>
    </row>
    <row r="494" spans="2:8" x14ac:dyDescent="0.25">
      <c r="B494"/>
      <c r="C494"/>
      <c r="F494" s="25"/>
      <c r="G494"/>
      <c r="H494" s="20"/>
    </row>
    <row r="495" spans="2:8" x14ac:dyDescent="0.25">
      <c r="B495"/>
      <c r="C495"/>
      <c r="F495" s="25"/>
      <c r="G495"/>
      <c r="H495" s="20"/>
    </row>
    <row r="496" spans="2:8" x14ac:dyDescent="0.25">
      <c r="B496"/>
      <c r="C496"/>
      <c r="F496" s="25"/>
      <c r="G496"/>
      <c r="H496" s="20"/>
    </row>
    <row r="497" spans="2:8" x14ac:dyDescent="0.25">
      <c r="B497"/>
      <c r="C497"/>
      <c r="F497" s="25"/>
      <c r="G497"/>
      <c r="H497" s="20"/>
    </row>
    <row r="498" spans="2:8" x14ac:dyDescent="0.25">
      <c r="B498"/>
      <c r="C498"/>
      <c r="F498" s="25"/>
      <c r="G498"/>
      <c r="H498" s="20"/>
    </row>
    <row r="499" spans="2:8" x14ac:dyDescent="0.25">
      <c r="B499"/>
      <c r="C499"/>
      <c r="F499" s="25"/>
      <c r="G499"/>
      <c r="H499" s="20"/>
    </row>
    <row r="500" spans="2:8" x14ac:dyDescent="0.25">
      <c r="B500"/>
      <c r="C500"/>
      <c r="F500" s="25"/>
      <c r="G500"/>
      <c r="H500" s="20"/>
    </row>
    <row r="501" spans="2:8" x14ac:dyDescent="0.25">
      <c r="B501"/>
      <c r="C501"/>
      <c r="F501" s="25"/>
      <c r="G501"/>
      <c r="H501" s="20"/>
    </row>
    <row r="502" spans="2:8" x14ac:dyDescent="0.25">
      <c r="B502"/>
      <c r="C502"/>
      <c r="F502" s="25"/>
      <c r="G502"/>
      <c r="H502" s="20"/>
    </row>
    <row r="503" spans="2:8" x14ac:dyDescent="0.25">
      <c r="B503"/>
      <c r="C503"/>
      <c r="F503" s="25"/>
      <c r="G503"/>
      <c r="H503" s="20"/>
    </row>
    <row r="504" spans="2:8" x14ac:dyDescent="0.25">
      <c r="B504"/>
      <c r="C504"/>
      <c r="F504" s="25"/>
      <c r="G504"/>
      <c r="H504" s="20"/>
    </row>
    <row r="505" spans="2:8" x14ac:dyDescent="0.25">
      <c r="B505"/>
      <c r="C505"/>
      <c r="F505" s="25"/>
      <c r="G505"/>
      <c r="H505" s="20"/>
    </row>
    <row r="506" spans="2:8" x14ac:dyDescent="0.25">
      <c r="B506"/>
      <c r="C506"/>
      <c r="F506" s="25"/>
      <c r="G506"/>
      <c r="H506" s="20"/>
    </row>
    <row r="507" spans="2:8" x14ac:dyDescent="0.25">
      <c r="B507"/>
      <c r="C507"/>
      <c r="F507" s="25"/>
      <c r="G507"/>
      <c r="H507" s="20"/>
    </row>
    <row r="508" spans="2:8" x14ac:dyDescent="0.25">
      <c r="B508"/>
      <c r="C508"/>
      <c r="F508" s="25"/>
      <c r="G508"/>
      <c r="H508" s="20"/>
    </row>
    <row r="509" spans="2:8" x14ac:dyDescent="0.25">
      <c r="B509"/>
      <c r="C509"/>
      <c r="F509" s="25"/>
      <c r="G509"/>
      <c r="H509" s="20"/>
    </row>
    <row r="510" spans="2:8" x14ac:dyDescent="0.25">
      <c r="B510"/>
      <c r="C510"/>
      <c r="F510" s="25"/>
      <c r="G510"/>
      <c r="H510" s="20"/>
    </row>
    <row r="511" spans="2:8" x14ac:dyDescent="0.25">
      <c r="B511"/>
      <c r="C511"/>
      <c r="F511" s="25"/>
      <c r="G511"/>
      <c r="H511" s="20"/>
    </row>
    <row r="512" spans="2:8" x14ac:dyDescent="0.25">
      <c r="B512"/>
      <c r="C512"/>
      <c r="F512" s="25"/>
      <c r="G512"/>
      <c r="H512" s="20"/>
    </row>
    <row r="513" spans="2:8" x14ac:dyDescent="0.25">
      <c r="B513"/>
      <c r="C513"/>
      <c r="F513" s="25"/>
      <c r="G513"/>
      <c r="H513" s="20"/>
    </row>
    <row r="514" spans="2:8" x14ac:dyDescent="0.25">
      <c r="B514"/>
      <c r="C514"/>
      <c r="F514" s="25"/>
      <c r="G514"/>
      <c r="H514" s="20"/>
    </row>
    <row r="515" spans="2:8" x14ac:dyDescent="0.25">
      <c r="B515"/>
      <c r="C515"/>
      <c r="F515" s="25"/>
      <c r="G515"/>
      <c r="H515" s="20"/>
    </row>
    <row r="516" spans="2:8" x14ac:dyDescent="0.25">
      <c r="B516"/>
      <c r="C516"/>
      <c r="F516" s="25"/>
      <c r="G516"/>
      <c r="H516" s="20"/>
    </row>
    <row r="517" spans="2:8" x14ac:dyDescent="0.25">
      <c r="B517"/>
      <c r="C517"/>
      <c r="F517" s="25"/>
      <c r="G517"/>
      <c r="H517" s="20"/>
    </row>
    <row r="518" spans="2:8" x14ac:dyDescent="0.25">
      <c r="B518"/>
      <c r="C518"/>
      <c r="F518" s="25"/>
      <c r="G518"/>
      <c r="H518" s="20"/>
    </row>
    <row r="519" spans="2:8" x14ac:dyDescent="0.25">
      <c r="B519"/>
      <c r="C519"/>
      <c r="F519" s="25"/>
      <c r="G519"/>
      <c r="H519" s="20"/>
    </row>
    <row r="520" spans="2:8" x14ac:dyDescent="0.25">
      <c r="B520"/>
      <c r="C520"/>
      <c r="F520" s="25"/>
      <c r="G520"/>
      <c r="H520" s="20"/>
    </row>
    <row r="521" spans="2:8" x14ac:dyDescent="0.25">
      <c r="B521"/>
      <c r="C521"/>
      <c r="F521" s="25"/>
      <c r="G521"/>
      <c r="H521" s="20"/>
    </row>
    <row r="522" spans="2:8" x14ac:dyDescent="0.25">
      <c r="B522"/>
      <c r="C522"/>
      <c r="F522" s="25"/>
      <c r="G522"/>
      <c r="H522" s="20"/>
    </row>
    <row r="523" spans="2:8" x14ac:dyDescent="0.25">
      <c r="B523"/>
      <c r="C523"/>
      <c r="F523" s="25"/>
      <c r="G523"/>
      <c r="H523" s="20"/>
    </row>
    <row r="524" spans="2:8" x14ac:dyDescent="0.25">
      <c r="B524"/>
      <c r="C524"/>
      <c r="F524" s="25"/>
      <c r="G524"/>
      <c r="H524" s="20"/>
    </row>
    <row r="525" spans="2:8" x14ac:dyDescent="0.25">
      <c r="B525"/>
      <c r="C525"/>
      <c r="F525" s="25"/>
      <c r="G525"/>
      <c r="H525" s="20"/>
    </row>
    <row r="526" spans="2:8" x14ac:dyDescent="0.25">
      <c r="B526"/>
      <c r="C526"/>
      <c r="F526" s="25"/>
      <c r="G526"/>
      <c r="H526" s="20"/>
    </row>
    <row r="527" spans="2:8" x14ac:dyDescent="0.25">
      <c r="B527"/>
      <c r="C527"/>
      <c r="F527" s="25"/>
      <c r="G527"/>
      <c r="H527" s="20"/>
    </row>
    <row r="528" spans="2:8" x14ac:dyDescent="0.25">
      <c r="B528"/>
      <c r="C528"/>
      <c r="F528" s="25"/>
      <c r="G528"/>
      <c r="H528" s="20"/>
    </row>
    <row r="529" spans="2:8" x14ac:dyDescent="0.25">
      <c r="B529"/>
      <c r="C529"/>
      <c r="F529" s="25"/>
      <c r="G529"/>
      <c r="H529" s="20"/>
    </row>
    <row r="530" spans="2:8" x14ac:dyDescent="0.25">
      <c r="B530"/>
      <c r="C530"/>
      <c r="F530" s="25"/>
      <c r="G530"/>
      <c r="H530" s="20"/>
    </row>
    <row r="531" spans="2:8" x14ac:dyDescent="0.25">
      <c r="B531"/>
      <c r="C531"/>
      <c r="F531" s="25"/>
      <c r="G531"/>
      <c r="H531" s="20"/>
    </row>
    <row r="532" spans="2:8" x14ac:dyDescent="0.25">
      <c r="B532"/>
      <c r="C532"/>
      <c r="F532" s="25"/>
      <c r="G532"/>
      <c r="H532" s="20"/>
    </row>
    <row r="533" spans="2:8" x14ac:dyDescent="0.25">
      <c r="B533"/>
      <c r="C533"/>
      <c r="F533" s="25"/>
      <c r="G533"/>
      <c r="H533" s="20"/>
    </row>
    <row r="534" spans="2:8" x14ac:dyDescent="0.25">
      <c r="B534"/>
      <c r="C534"/>
      <c r="F534" s="25"/>
      <c r="G534"/>
      <c r="H534" s="20"/>
    </row>
    <row r="535" spans="2:8" x14ac:dyDescent="0.25">
      <c r="B535"/>
      <c r="C535"/>
      <c r="F535" s="25"/>
      <c r="G535"/>
      <c r="H535" s="20"/>
    </row>
    <row r="536" spans="2:8" x14ac:dyDescent="0.25">
      <c r="B536"/>
      <c r="C536"/>
      <c r="F536" s="25"/>
      <c r="G536"/>
      <c r="H536" s="20"/>
    </row>
    <row r="537" spans="2:8" x14ac:dyDescent="0.25">
      <c r="B537"/>
      <c r="C537"/>
      <c r="F537" s="25"/>
      <c r="G537"/>
      <c r="H537" s="20"/>
    </row>
    <row r="538" spans="2:8" x14ac:dyDescent="0.25">
      <c r="B538"/>
      <c r="C538"/>
      <c r="F538" s="25"/>
      <c r="G538"/>
      <c r="H538" s="20"/>
    </row>
    <row r="539" spans="2:8" x14ac:dyDescent="0.25">
      <c r="B539"/>
      <c r="C539"/>
      <c r="F539" s="25"/>
      <c r="G539"/>
      <c r="H539" s="20"/>
    </row>
    <row r="540" spans="2:8" x14ac:dyDescent="0.25">
      <c r="B540"/>
      <c r="C540"/>
      <c r="F540" s="25"/>
      <c r="G540"/>
      <c r="H540" s="20"/>
    </row>
    <row r="541" spans="2:8" x14ac:dyDescent="0.25">
      <c r="B541"/>
      <c r="C541"/>
      <c r="F541" s="25"/>
      <c r="G541"/>
      <c r="H541" s="20"/>
    </row>
    <row r="542" spans="2:8" x14ac:dyDescent="0.25">
      <c r="B542"/>
      <c r="C542"/>
      <c r="F542" s="25"/>
      <c r="G542"/>
      <c r="H542" s="20"/>
    </row>
    <row r="543" spans="2:8" x14ac:dyDescent="0.25">
      <c r="B543"/>
      <c r="C543"/>
      <c r="F543" s="25"/>
      <c r="G543"/>
      <c r="H543" s="20"/>
    </row>
    <row r="544" spans="2:8" x14ac:dyDescent="0.25">
      <c r="B544"/>
      <c r="C544"/>
      <c r="F544" s="25"/>
      <c r="G544"/>
      <c r="H544" s="20"/>
    </row>
    <row r="545" spans="2:8" x14ac:dyDescent="0.25">
      <c r="B545"/>
      <c r="C545"/>
      <c r="F545" s="25"/>
      <c r="G545"/>
      <c r="H545" s="20"/>
    </row>
    <row r="546" spans="2:8" x14ac:dyDescent="0.25">
      <c r="B546"/>
      <c r="C546"/>
      <c r="F546" s="25"/>
      <c r="G546"/>
      <c r="H546" s="20"/>
    </row>
    <row r="547" spans="2:8" x14ac:dyDescent="0.25">
      <c r="B547"/>
      <c r="C547"/>
      <c r="F547" s="25"/>
      <c r="G547"/>
      <c r="H547" s="20"/>
    </row>
    <row r="548" spans="2:8" x14ac:dyDescent="0.25">
      <c r="B548"/>
      <c r="C548"/>
      <c r="F548" s="25"/>
      <c r="G548"/>
      <c r="H548" s="20"/>
    </row>
    <row r="549" spans="2:8" x14ac:dyDescent="0.25">
      <c r="B549"/>
      <c r="C549"/>
      <c r="F549" s="25"/>
      <c r="G549"/>
      <c r="H549" s="20"/>
    </row>
    <row r="550" spans="2:8" x14ac:dyDescent="0.25">
      <c r="B550"/>
      <c r="C550"/>
      <c r="F550" s="25"/>
      <c r="G550"/>
      <c r="H550" s="20"/>
    </row>
    <row r="551" spans="2:8" x14ac:dyDescent="0.25">
      <c r="B551"/>
      <c r="C551"/>
      <c r="F551" s="25"/>
      <c r="G551"/>
      <c r="H551" s="20"/>
    </row>
    <row r="552" spans="2:8" x14ac:dyDescent="0.25">
      <c r="B552"/>
      <c r="C552"/>
      <c r="F552" s="25"/>
      <c r="G552"/>
      <c r="H552" s="20"/>
    </row>
    <row r="553" spans="2:8" x14ac:dyDescent="0.25">
      <c r="B553"/>
      <c r="C553"/>
      <c r="F553" s="25"/>
      <c r="G553"/>
      <c r="H553" s="20"/>
    </row>
    <row r="554" spans="2:8" x14ac:dyDescent="0.25">
      <c r="B554"/>
      <c r="C554"/>
      <c r="F554" s="25"/>
      <c r="G554"/>
      <c r="H554" s="20"/>
    </row>
    <row r="555" spans="2:8" x14ac:dyDescent="0.25">
      <c r="B555"/>
      <c r="C555"/>
      <c r="F555" s="25"/>
      <c r="G555"/>
      <c r="H555" s="20"/>
    </row>
    <row r="556" spans="2:8" x14ac:dyDescent="0.25">
      <c r="B556"/>
      <c r="C556"/>
      <c r="F556" s="25"/>
      <c r="G556"/>
      <c r="H556" s="20"/>
    </row>
    <row r="557" spans="2:8" x14ac:dyDescent="0.25">
      <c r="B557"/>
      <c r="C557"/>
      <c r="F557" s="25"/>
      <c r="G557"/>
      <c r="H557" s="20"/>
    </row>
    <row r="558" spans="2:8" x14ac:dyDescent="0.25">
      <c r="B558"/>
      <c r="C558"/>
      <c r="F558" s="25"/>
      <c r="G558"/>
      <c r="H558" s="20"/>
    </row>
    <row r="559" spans="2:8" x14ac:dyDescent="0.25">
      <c r="B559"/>
      <c r="C559"/>
      <c r="F559" s="25"/>
      <c r="G559"/>
      <c r="H559" s="20"/>
    </row>
    <row r="560" spans="2:8" x14ac:dyDescent="0.25">
      <c r="B560"/>
      <c r="C560"/>
      <c r="F560" s="25"/>
      <c r="G560"/>
      <c r="H560" s="20"/>
    </row>
    <row r="561" spans="2:8" x14ac:dyDescent="0.25">
      <c r="B561"/>
      <c r="C561"/>
      <c r="F561" s="25"/>
      <c r="G561"/>
      <c r="H561" s="20"/>
    </row>
    <row r="562" spans="2:8" x14ac:dyDescent="0.25">
      <c r="B562"/>
      <c r="C562"/>
      <c r="F562" s="25"/>
      <c r="G562"/>
      <c r="H562" s="20"/>
    </row>
    <row r="563" spans="2:8" x14ac:dyDescent="0.25">
      <c r="B563"/>
      <c r="C563"/>
      <c r="F563" s="25"/>
      <c r="G563"/>
      <c r="H563" s="20"/>
    </row>
    <row r="564" spans="2:8" x14ac:dyDescent="0.25">
      <c r="B564"/>
      <c r="C564"/>
      <c r="F564" s="25"/>
      <c r="G564"/>
      <c r="H564" s="20"/>
    </row>
    <row r="565" spans="2:8" x14ac:dyDescent="0.25">
      <c r="B565"/>
      <c r="C565"/>
      <c r="F565" s="25"/>
      <c r="G565"/>
      <c r="H565" s="20"/>
    </row>
    <row r="566" spans="2:8" x14ac:dyDescent="0.25">
      <c r="B566"/>
      <c r="C566"/>
      <c r="F566" s="25"/>
      <c r="G566"/>
      <c r="H566" s="20"/>
    </row>
    <row r="567" spans="2:8" x14ac:dyDescent="0.25">
      <c r="B567"/>
      <c r="C567"/>
      <c r="F567" s="25"/>
      <c r="G567"/>
      <c r="H567" s="20"/>
    </row>
    <row r="568" spans="2:8" x14ac:dyDescent="0.25">
      <c r="B568"/>
      <c r="C568"/>
      <c r="F568" s="25"/>
      <c r="G568"/>
      <c r="H568" s="20"/>
    </row>
    <row r="569" spans="2:8" x14ac:dyDescent="0.25">
      <c r="B569"/>
      <c r="C569"/>
      <c r="F569" s="25"/>
      <c r="G569"/>
      <c r="H569" s="20"/>
    </row>
    <row r="570" spans="2:8" x14ac:dyDescent="0.25">
      <c r="B570"/>
      <c r="C570"/>
      <c r="F570" s="25"/>
      <c r="G570"/>
      <c r="H570" s="20"/>
    </row>
    <row r="571" spans="2:8" x14ac:dyDescent="0.25">
      <c r="B571"/>
      <c r="C571"/>
      <c r="F571" s="25"/>
      <c r="G571"/>
      <c r="H571" s="20"/>
    </row>
    <row r="572" spans="2:8" x14ac:dyDescent="0.25">
      <c r="B572"/>
      <c r="C572"/>
      <c r="F572" s="25"/>
      <c r="G572"/>
      <c r="H572" s="20"/>
    </row>
    <row r="573" spans="2:8" x14ac:dyDescent="0.25">
      <c r="B573"/>
      <c r="C573"/>
      <c r="F573" s="25"/>
      <c r="G573"/>
      <c r="H573" s="20"/>
    </row>
    <row r="574" spans="2:8" x14ac:dyDescent="0.25">
      <c r="B574"/>
      <c r="C574"/>
      <c r="F574" s="25"/>
      <c r="G574"/>
      <c r="H574" s="20"/>
    </row>
    <row r="575" spans="2:8" x14ac:dyDescent="0.25">
      <c r="B575"/>
      <c r="C575"/>
      <c r="F575" s="25"/>
      <c r="G575"/>
      <c r="H575" s="20"/>
    </row>
    <row r="576" spans="2:8" x14ac:dyDescent="0.25">
      <c r="B576"/>
      <c r="C576"/>
      <c r="F576" s="25"/>
      <c r="G576"/>
      <c r="H576" s="20"/>
    </row>
    <row r="577" spans="2:8" x14ac:dyDescent="0.25">
      <c r="B577"/>
      <c r="C577"/>
      <c r="F577" s="25"/>
      <c r="G577"/>
      <c r="H577" s="20"/>
    </row>
    <row r="578" spans="2:8" x14ac:dyDescent="0.25">
      <c r="B578"/>
      <c r="C578"/>
      <c r="F578" s="25"/>
      <c r="G578"/>
      <c r="H578" s="20"/>
    </row>
    <row r="579" spans="2:8" x14ac:dyDescent="0.25">
      <c r="B579"/>
      <c r="C579"/>
      <c r="F579" s="25"/>
      <c r="G579"/>
      <c r="H579" s="20"/>
    </row>
    <row r="580" spans="2:8" x14ac:dyDescent="0.25">
      <c r="B580"/>
      <c r="C580"/>
      <c r="F580" s="25"/>
      <c r="G580"/>
      <c r="H580" s="20"/>
    </row>
    <row r="581" spans="2:8" x14ac:dyDescent="0.25">
      <c r="B581"/>
      <c r="C581"/>
      <c r="F581" s="25"/>
      <c r="G581"/>
      <c r="H581" s="20"/>
    </row>
    <row r="582" spans="2:8" x14ac:dyDescent="0.25">
      <c r="B582"/>
      <c r="C582"/>
      <c r="F582" s="25"/>
      <c r="G582"/>
      <c r="H582" s="20"/>
    </row>
    <row r="583" spans="2:8" x14ac:dyDescent="0.25">
      <c r="B583"/>
      <c r="C583"/>
      <c r="F583" s="25"/>
      <c r="G583"/>
      <c r="H583" s="20"/>
    </row>
    <row r="584" spans="2:8" x14ac:dyDescent="0.25">
      <c r="B584"/>
      <c r="C584"/>
      <c r="F584" s="25"/>
      <c r="G584"/>
      <c r="H584" s="20"/>
    </row>
    <row r="585" spans="2:8" x14ac:dyDescent="0.25">
      <c r="B585"/>
      <c r="C585"/>
      <c r="F585" s="25"/>
      <c r="G585"/>
      <c r="H585" s="20"/>
    </row>
    <row r="586" spans="2:8" x14ac:dyDescent="0.25">
      <c r="B586"/>
      <c r="C586"/>
      <c r="F586" s="25"/>
      <c r="G586"/>
      <c r="H586" s="20"/>
    </row>
    <row r="587" spans="2:8" x14ac:dyDescent="0.25">
      <c r="B587"/>
      <c r="C587"/>
      <c r="F587" s="25"/>
      <c r="G587"/>
      <c r="H587" s="20"/>
    </row>
    <row r="588" spans="2:8" x14ac:dyDescent="0.25">
      <c r="B588"/>
      <c r="C588"/>
      <c r="F588" s="25"/>
      <c r="G588"/>
      <c r="H588" s="20"/>
    </row>
    <row r="589" spans="2:8" x14ac:dyDescent="0.25">
      <c r="B589"/>
      <c r="C589"/>
      <c r="F589" s="25"/>
      <c r="G589"/>
      <c r="H589" s="20"/>
    </row>
    <row r="590" spans="2:8" x14ac:dyDescent="0.25">
      <c r="B590"/>
      <c r="C590"/>
      <c r="F590" s="25"/>
      <c r="G590"/>
      <c r="H590" s="20"/>
    </row>
    <row r="591" spans="2:8" x14ac:dyDescent="0.25">
      <c r="B591"/>
      <c r="C591"/>
      <c r="F591" s="25"/>
      <c r="G591"/>
      <c r="H591" s="20"/>
    </row>
    <row r="592" spans="2:8" x14ac:dyDescent="0.25">
      <c r="B592"/>
      <c r="C592"/>
      <c r="F592" s="25"/>
      <c r="G592"/>
      <c r="H592" s="20"/>
    </row>
    <row r="593" spans="2:8" x14ac:dyDescent="0.25">
      <c r="B593"/>
      <c r="C593"/>
      <c r="F593" s="25"/>
      <c r="G593"/>
      <c r="H593" s="20"/>
    </row>
    <row r="594" spans="2:8" x14ac:dyDescent="0.25">
      <c r="B594"/>
      <c r="C594"/>
      <c r="F594" s="25"/>
      <c r="G594"/>
      <c r="H594" s="20"/>
    </row>
    <row r="595" spans="2:8" x14ac:dyDescent="0.25">
      <c r="B595"/>
      <c r="C595"/>
      <c r="F595" s="25"/>
      <c r="G595"/>
      <c r="H595" s="20"/>
    </row>
    <row r="596" spans="2:8" x14ac:dyDescent="0.25">
      <c r="B596"/>
      <c r="C596"/>
      <c r="F596" s="25"/>
      <c r="G596"/>
      <c r="H596" s="20"/>
    </row>
    <row r="597" spans="2:8" x14ac:dyDescent="0.25">
      <c r="B597"/>
      <c r="C597"/>
      <c r="F597" s="25"/>
      <c r="G597"/>
      <c r="H597" s="20"/>
    </row>
    <row r="598" spans="2:8" x14ac:dyDescent="0.25">
      <c r="B598"/>
      <c r="C598"/>
      <c r="F598" s="25"/>
      <c r="G598"/>
      <c r="H598" s="20"/>
    </row>
    <row r="599" spans="2:8" x14ac:dyDescent="0.25">
      <c r="B599"/>
      <c r="C599"/>
      <c r="F599" s="25"/>
      <c r="G599"/>
      <c r="H599" s="20"/>
    </row>
    <row r="600" spans="2:8" x14ac:dyDescent="0.25">
      <c r="B600"/>
      <c r="C600"/>
      <c r="F600" s="25"/>
      <c r="G600"/>
      <c r="H600" s="20"/>
    </row>
    <row r="601" spans="2:8" x14ac:dyDescent="0.25">
      <c r="B601"/>
      <c r="C601"/>
      <c r="F601" s="25"/>
      <c r="G601"/>
      <c r="H601" s="20"/>
    </row>
    <row r="602" spans="2:8" x14ac:dyDescent="0.25">
      <c r="B602"/>
      <c r="C602"/>
      <c r="F602" s="25"/>
      <c r="G602"/>
      <c r="H602" s="20"/>
    </row>
    <row r="603" spans="2:8" x14ac:dyDescent="0.25">
      <c r="B603"/>
      <c r="C603"/>
      <c r="F603" s="25"/>
      <c r="G603"/>
      <c r="H603" s="20"/>
    </row>
    <row r="604" spans="2:8" x14ac:dyDescent="0.25">
      <c r="B604"/>
      <c r="C604"/>
      <c r="F604" s="25"/>
      <c r="G604"/>
      <c r="H604" s="20"/>
    </row>
    <row r="605" spans="2:8" x14ac:dyDescent="0.25">
      <c r="B605"/>
      <c r="C605"/>
      <c r="F605" s="25"/>
      <c r="G605"/>
      <c r="H605" s="20"/>
    </row>
    <row r="606" spans="2:8" x14ac:dyDescent="0.25">
      <c r="B606"/>
      <c r="C606"/>
      <c r="F606" s="25"/>
      <c r="G606"/>
      <c r="H606" s="20"/>
    </row>
    <row r="607" spans="2:8" x14ac:dyDescent="0.25">
      <c r="B607"/>
      <c r="C607"/>
      <c r="F607" s="25"/>
      <c r="G607"/>
      <c r="H607" s="20"/>
    </row>
    <row r="608" spans="2:8" x14ac:dyDescent="0.25">
      <c r="B608"/>
      <c r="C608"/>
      <c r="F608" s="25"/>
      <c r="G608"/>
      <c r="H608" s="20"/>
    </row>
    <row r="609" spans="2:8" x14ac:dyDescent="0.25">
      <c r="B609"/>
      <c r="C609"/>
      <c r="F609" s="25"/>
      <c r="G609"/>
      <c r="H609" s="20"/>
    </row>
    <row r="610" spans="2:8" x14ac:dyDescent="0.25">
      <c r="B610"/>
      <c r="C610"/>
      <c r="F610" s="25"/>
      <c r="G610"/>
      <c r="H610" s="20"/>
    </row>
    <row r="611" spans="2:8" x14ac:dyDescent="0.25">
      <c r="B611"/>
      <c r="C611"/>
      <c r="F611" s="25"/>
      <c r="G611"/>
      <c r="H611" s="20"/>
    </row>
    <row r="612" spans="2:8" x14ac:dyDescent="0.25">
      <c r="B612"/>
      <c r="C612"/>
      <c r="F612" s="25"/>
      <c r="G612"/>
      <c r="H612" s="20"/>
    </row>
    <row r="613" spans="2:8" x14ac:dyDescent="0.25">
      <c r="B613"/>
      <c r="C613"/>
      <c r="F613" s="25"/>
      <c r="G613"/>
      <c r="H613" s="20"/>
    </row>
    <row r="614" spans="2:8" x14ac:dyDescent="0.25">
      <c r="B614"/>
      <c r="C614"/>
      <c r="F614" s="25"/>
      <c r="G614"/>
      <c r="H614" s="20"/>
    </row>
    <row r="615" spans="2:8" x14ac:dyDescent="0.25">
      <c r="B615"/>
      <c r="C615"/>
      <c r="F615" s="25"/>
      <c r="G615"/>
      <c r="H615" s="20"/>
    </row>
    <row r="616" spans="2:8" x14ac:dyDescent="0.25">
      <c r="B616"/>
      <c r="C616"/>
      <c r="F616" s="25"/>
      <c r="G616"/>
      <c r="H616" s="20"/>
    </row>
    <row r="617" spans="2:8" x14ac:dyDescent="0.25">
      <c r="B617"/>
      <c r="C617"/>
      <c r="F617" s="25"/>
      <c r="G617"/>
      <c r="H617" s="20"/>
    </row>
    <row r="618" spans="2:8" x14ac:dyDescent="0.25">
      <c r="B618"/>
      <c r="C618"/>
      <c r="F618" s="25"/>
      <c r="G618"/>
      <c r="H618" s="20"/>
    </row>
    <row r="619" spans="2:8" x14ac:dyDescent="0.25">
      <c r="B619"/>
      <c r="C619"/>
      <c r="F619" s="25"/>
      <c r="G619"/>
      <c r="H619" s="20"/>
    </row>
    <row r="620" spans="2:8" x14ac:dyDescent="0.25">
      <c r="B620"/>
      <c r="C620"/>
      <c r="F620" s="25"/>
      <c r="G620"/>
      <c r="H620" s="20"/>
    </row>
    <row r="621" spans="2:8" x14ac:dyDescent="0.25">
      <c r="B621"/>
      <c r="C621"/>
      <c r="F621" s="25"/>
      <c r="G621"/>
      <c r="H621" s="20"/>
    </row>
    <row r="622" spans="2:8" x14ac:dyDescent="0.25">
      <c r="B622"/>
      <c r="C622"/>
      <c r="F622" s="25"/>
      <c r="G622"/>
      <c r="H622" s="20"/>
    </row>
    <row r="623" spans="2:8" x14ac:dyDescent="0.25">
      <c r="B623"/>
      <c r="C623"/>
      <c r="F623" s="25"/>
      <c r="G623"/>
      <c r="H623" s="20"/>
    </row>
    <row r="624" spans="2:8" x14ac:dyDescent="0.25">
      <c r="B624"/>
      <c r="C624"/>
      <c r="F624" s="25"/>
      <c r="G624"/>
      <c r="H624" s="20"/>
    </row>
    <row r="625" spans="2:8" x14ac:dyDescent="0.25">
      <c r="B625"/>
      <c r="C625"/>
      <c r="F625" s="25"/>
      <c r="G625"/>
      <c r="H625" s="20"/>
    </row>
    <row r="626" spans="2:8" x14ac:dyDescent="0.25">
      <c r="B626"/>
      <c r="C626"/>
      <c r="F626" s="25"/>
      <c r="G626"/>
      <c r="H626" s="20"/>
    </row>
    <row r="627" spans="2:8" x14ac:dyDescent="0.25">
      <c r="B627"/>
      <c r="C627"/>
      <c r="F627" s="25"/>
      <c r="G627"/>
      <c r="H627" s="20"/>
    </row>
    <row r="628" spans="2:8" x14ac:dyDescent="0.25">
      <c r="B628"/>
      <c r="C628"/>
      <c r="F628" s="25"/>
      <c r="G628"/>
      <c r="H628" s="20"/>
    </row>
    <row r="629" spans="2:8" x14ac:dyDescent="0.25">
      <c r="B629"/>
      <c r="C629"/>
      <c r="F629" s="25"/>
      <c r="G629"/>
      <c r="H629" s="20"/>
    </row>
    <row r="630" spans="2:8" x14ac:dyDescent="0.25">
      <c r="B630"/>
      <c r="C630"/>
      <c r="F630" s="25"/>
      <c r="G630"/>
      <c r="H630" s="20"/>
    </row>
    <row r="631" spans="2:8" x14ac:dyDescent="0.25">
      <c r="B631"/>
      <c r="C631"/>
      <c r="F631" s="25"/>
      <c r="G631"/>
      <c r="H631" s="20"/>
    </row>
    <row r="632" spans="2:8" x14ac:dyDescent="0.25">
      <c r="B632"/>
      <c r="C632"/>
      <c r="F632" s="25"/>
      <c r="G632"/>
      <c r="H632" s="20"/>
    </row>
    <row r="633" spans="2:8" x14ac:dyDescent="0.25">
      <c r="B633"/>
      <c r="C633"/>
      <c r="F633" s="25"/>
      <c r="G633"/>
      <c r="H633" s="20"/>
    </row>
    <row r="634" spans="2:8" x14ac:dyDescent="0.25">
      <c r="B634"/>
      <c r="C634"/>
      <c r="F634" s="25"/>
      <c r="G634"/>
      <c r="H634" s="20"/>
    </row>
    <row r="635" spans="2:8" x14ac:dyDescent="0.25">
      <c r="B635"/>
      <c r="C635"/>
      <c r="F635" s="25"/>
      <c r="G635"/>
      <c r="H635" s="20"/>
    </row>
    <row r="636" spans="2:8" x14ac:dyDescent="0.25">
      <c r="B636"/>
      <c r="C636"/>
      <c r="F636" s="25"/>
      <c r="G636"/>
      <c r="H636" s="20"/>
    </row>
    <row r="637" spans="2:8" x14ac:dyDescent="0.25">
      <c r="B637"/>
      <c r="C637"/>
      <c r="F637" s="25"/>
      <c r="G637"/>
      <c r="H637" s="20"/>
    </row>
    <row r="638" spans="2:8" x14ac:dyDescent="0.25">
      <c r="B638"/>
      <c r="C638"/>
      <c r="F638" s="25"/>
      <c r="G638"/>
      <c r="H638" s="20"/>
    </row>
    <row r="639" spans="2:8" x14ac:dyDescent="0.25">
      <c r="B639"/>
      <c r="C639"/>
      <c r="F639" s="25"/>
      <c r="G639"/>
      <c r="H639" s="20"/>
    </row>
    <row r="640" spans="2:8" x14ac:dyDescent="0.25">
      <c r="B640"/>
      <c r="C640"/>
      <c r="F640" s="25"/>
      <c r="G640"/>
      <c r="H640" s="20"/>
    </row>
    <row r="641" spans="2:8" x14ac:dyDescent="0.25">
      <c r="B641"/>
      <c r="C641"/>
      <c r="F641" s="25"/>
      <c r="G641"/>
      <c r="H641" s="20"/>
    </row>
    <row r="642" spans="2:8" x14ac:dyDescent="0.25">
      <c r="B642"/>
      <c r="C642"/>
      <c r="F642" s="25"/>
      <c r="G642"/>
      <c r="H642" s="20"/>
    </row>
    <row r="643" spans="2:8" x14ac:dyDescent="0.25">
      <c r="B643"/>
      <c r="C643"/>
      <c r="F643" s="25"/>
      <c r="G643"/>
      <c r="H643" s="20"/>
    </row>
    <row r="644" spans="2:8" x14ac:dyDescent="0.25">
      <c r="B644"/>
      <c r="C644"/>
      <c r="F644" s="25"/>
      <c r="G644"/>
      <c r="H644" s="20"/>
    </row>
    <row r="645" spans="2:8" x14ac:dyDescent="0.25">
      <c r="B645"/>
      <c r="C645"/>
      <c r="F645" s="25"/>
      <c r="G645"/>
      <c r="H645" s="20"/>
    </row>
    <row r="646" spans="2:8" x14ac:dyDescent="0.25">
      <c r="B646"/>
      <c r="C646"/>
      <c r="F646" s="25"/>
      <c r="G646"/>
      <c r="H646" s="20"/>
    </row>
    <row r="647" spans="2:8" x14ac:dyDescent="0.25">
      <c r="B647"/>
      <c r="C647"/>
      <c r="F647" s="25"/>
      <c r="G647"/>
      <c r="H647" s="20"/>
    </row>
    <row r="648" spans="2:8" x14ac:dyDescent="0.25">
      <c r="B648"/>
      <c r="C648"/>
      <c r="F648" s="25"/>
      <c r="G648"/>
      <c r="H648" s="20"/>
    </row>
    <row r="649" spans="2:8" x14ac:dyDescent="0.25">
      <c r="B649"/>
      <c r="C649"/>
      <c r="F649" s="25"/>
      <c r="G649"/>
      <c r="H649" s="20"/>
    </row>
    <row r="650" spans="2:8" x14ac:dyDescent="0.25">
      <c r="B650"/>
      <c r="C650"/>
      <c r="F650" s="25"/>
      <c r="G650"/>
      <c r="H650" s="20"/>
    </row>
    <row r="651" spans="2:8" x14ac:dyDescent="0.25">
      <c r="B651"/>
      <c r="C651"/>
      <c r="F651" s="25"/>
      <c r="G651"/>
      <c r="H651" s="20"/>
    </row>
    <row r="652" spans="2:8" x14ac:dyDescent="0.25">
      <c r="B652"/>
      <c r="C652"/>
      <c r="F652" s="25"/>
      <c r="G652"/>
      <c r="H652" s="20"/>
    </row>
    <row r="653" spans="2:8" x14ac:dyDescent="0.25">
      <c r="B653"/>
      <c r="C653"/>
      <c r="F653" s="25"/>
      <c r="G653"/>
      <c r="H653" s="20"/>
    </row>
    <row r="654" spans="2:8" x14ac:dyDescent="0.25">
      <c r="B654"/>
      <c r="C654"/>
      <c r="F654" s="25"/>
      <c r="G654"/>
      <c r="H654" s="20"/>
    </row>
    <row r="655" spans="2:8" x14ac:dyDescent="0.25">
      <c r="B655"/>
      <c r="C655"/>
      <c r="F655" s="25"/>
      <c r="G655"/>
      <c r="H655" s="20"/>
    </row>
    <row r="656" spans="2:8" x14ac:dyDescent="0.25">
      <c r="B656"/>
      <c r="C656"/>
      <c r="F656" s="25"/>
      <c r="G656"/>
      <c r="H656" s="20"/>
    </row>
    <row r="657" spans="2:8" x14ac:dyDescent="0.25">
      <c r="B657"/>
      <c r="C657"/>
      <c r="F657" s="25"/>
      <c r="G657"/>
      <c r="H657" s="20"/>
    </row>
    <row r="658" spans="2:8" x14ac:dyDescent="0.25">
      <c r="B658"/>
      <c r="C658"/>
      <c r="F658" s="25"/>
      <c r="G658"/>
      <c r="H658" s="20"/>
    </row>
    <row r="659" spans="2:8" x14ac:dyDescent="0.25">
      <c r="B659"/>
      <c r="C659"/>
      <c r="F659" s="25"/>
      <c r="G659"/>
      <c r="H659" s="20"/>
    </row>
    <row r="660" spans="2:8" x14ac:dyDescent="0.25">
      <c r="B660"/>
      <c r="C660"/>
      <c r="F660" s="25"/>
      <c r="G660"/>
      <c r="H660" s="20"/>
    </row>
    <row r="661" spans="2:8" x14ac:dyDescent="0.25">
      <c r="B661"/>
      <c r="C661"/>
      <c r="F661" s="25"/>
      <c r="G661"/>
      <c r="H661" s="20"/>
    </row>
    <row r="662" spans="2:8" x14ac:dyDescent="0.25">
      <c r="B662"/>
      <c r="C662"/>
      <c r="F662" s="25"/>
      <c r="G662"/>
      <c r="H662" s="20"/>
    </row>
    <row r="663" spans="2:8" x14ac:dyDescent="0.25">
      <c r="B663"/>
      <c r="C663"/>
      <c r="F663" s="25"/>
      <c r="G663"/>
      <c r="H663" s="20"/>
    </row>
    <row r="664" spans="2:8" x14ac:dyDescent="0.25">
      <c r="B664"/>
      <c r="C664"/>
      <c r="F664" s="25"/>
      <c r="G664"/>
      <c r="H664" s="20"/>
    </row>
    <row r="665" spans="2:8" x14ac:dyDescent="0.25">
      <c r="B665"/>
      <c r="C665"/>
      <c r="F665" s="25"/>
      <c r="G665"/>
      <c r="H665" s="20"/>
    </row>
    <row r="666" spans="2:8" x14ac:dyDescent="0.25">
      <c r="B666"/>
      <c r="C666"/>
      <c r="F666" s="25"/>
      <c r="G666"/>
      <c r="H666" s="20"/>
    </row>
    <row r="667" spans="2:8" x14ac:dyDescent="0.25">
      <c r="B667"/>
      <c r="C667"/>
      <c r="F667" s="25"/>
      <c r="G667"/>
      <c r="H667" s="20"/>
    </row>
    <row r="668" spans="2:8" x14ac:dyDescent="0.25">
      <c r="B668"/>
      <c r="C668"/>
      <c r="F668" s="25"/>
      <c r="G668"/>
      <c r="H668" s="20"/>
    </row>
    <row r="669" spans="2:8" x14ac:dyDescent="0.25">
      <c r="B669"/>
      <c r="C669"/>
      <c r="F669" s="25"/>
      <c r="G669"/>
      <c r="H669" s="20"/>
    </row>
    <row r="670" spans="2:8" x14ac:dyDescent="0.25">
      <c r="B670"/>
      <c r="C670"/>
      <c r="F670" s="25"/>
      <c r="G670"/>
      <c r="H670" s="20"/>
    </row>
    <row r="671" spans="2:8" x14ac:dyDescent="0.25">
      <c r="B671"/>
      <c r="C671"/>
      <c r="F671" s="25"/>
      <c r="G671"/>
      <c r="H671" s="20"/>
    </row>
    <row r="672" spans="2:8" x14ac:dyDescent="0.25">
      <c r="B672"/>
      <c r="C672"/>
      <c r="F672" s="25"/>
      <c r="G672"/>
      <c r="H672" s="20"/>
    </row>
    <row r="673" spans="2:8" x14ac:dyDescent="0.25">
      <c r="B673"/>
      <c r="C673"/>
      <c r="F673" s="25"/>
      <c r="G673"/>
      <c r="H673" s="20"/>
    </row>
    <row r="674" spans="2:8" x14ac:dyDescent="0.25">
      <c r="B674"/>
      <c r="C674"/>
      <c r="F674" s="25"/>
      <c r="G674"/>
      <c r="H674" s="20"/>
    </row>
    <row r="675" spans="2:8" x14ac:dyDescent="0.25">
      <c r="B675"/>
      <c r="C675"/>
      <c r="F675" s="25"/>
      <c r="G675"/>
      <c r="H675" s="20"/>
    </row>
    <row r="676" spans="2:8" x14ac:dyDescent="0.25">
      <c r="B676"/>
      <c r="C676"/>
      <c r="F676" s="25"/>
      <c r="G676"/>
      <c r="H676" s="20"/>
    </row>
    <row r="677" spans="2:8" x14ac:dyDescent="0.25">
      <c r="B677"/>
      <c r="C677"/>
      <c r="F677" s="25"/>
      <c r="G677"/>
      <c r="H677" s="20"/>
    </row>
    <row r="678" spans="2:8" x14ac:dyDescent="0.25">
      <c r="B678"/>
      <c r="C678"/>
      <c r="F678" s="25"/>
      <c r="G678"/>
      <c r="H678" s="20"/>
    </row>
    <row r="679" spans="2:8" x14ac:dyDescent="0.25">
      <c r="B679"/>
      <c r="C679"/>
      <c r="F679" s="25"/>
      <c r="G679"/>
      <c r="H679" s="20"/>
    </row>
    <row r="680" spans="2:8" x14ac:dyDescent="0.25">
      <c r="B680"/>
      <c r="C680"/>
      <c r="F680" s="25"/>
      <c r="G680"/>
      <c r="H680" s="20"/>
    </row>
    <row r="681" spans="2:8" x14ac:dyDescent="0.25">
      <c r="B681"/>
      <c r="C681"/>
      <c r="F681" s="25"/>
      <c r="G681"/>
      <c r="H681" s="20"/>
    </row>
    <row r="682" spans="2:8" x14ac:dyDescent="0.25">
      <c r="B682"/>
      <c r="C682"/>
      <c r="F682" s="25"/>
      <c r="G682"/>
      <c r="H682" s="20"/>
    </row>
    <row r="683" spans="2:8" x14ac:dyDescent="0.25">
      <c r="B683"/>
      <c r="C683"/>
      <c r="F683" s="25"/>
      <c r="G683"/>
      <c r="H683" s="20"/>
    </row>
    <row r="684" spans="2:8" x14ac:dyDescent="0.25">
      <c r="B684"/>
      <c r="C684"/>
      <c r="F684" s="25"/>
      <c r="G684"/>
      <c r="H684" s="20"/>
    </row>
    <row r="685" spans="2:8" x14ac:dyDescent="0.25">
      <c r="B685"/>
      <c r="C685"/>
      <c r="F685" s="25"/>
      <c r="G685"/>
      <c r="H685" s="20"/>
    </row>
    <row r="686" spans="2:8" x14ac:dyDescent="0.25">
      <c r="B686"/>
      <c r="C686"/>
      <c r="F686" s="25"/>
      <c r="G686"/>
      <c r="H686" s="20"/>
    </row>
    <row r="687" spans="2:8" x14ac:dyDescent="0.25">
      <c r="B687"/>
      <c r="C687"/>
      <c r="F687" s="25"/>
      <c r="G687"/>
      <c r="H687" s="20"/>
    </row>
    <row r="688" spans="2:8" x14ac:dyDescent="0.25">
      <c r="B688"/>
      <c r="C688"/>
      <c r="F688" s="25"/>
      <c r="G688"/>
      <c r="H688" s="20"/>
    </row>
    <row r="689" spans="2:8" x14ac:dyDescent="0.25">
      <c r="B689"/>
      <c r="C689"/>
      <c r="F689" s="25"/>
      <c r="G689"/>
      <c r="H689" s="20"/>
    </row>
    <row r="690" spans="2:8" x14ac:dyDescent="0.25">
      <c r="B690"/>
      <c r="C690"/>
      <c r="F690" s="25"/>
      <c r="G690"/>
      <c r="H690" s="20"/>
    </row>
    <row r="691" spans="2:8" x14ac:dyDescent="0.25">
      <c r="B691"/>
      <c r="C691"/>
      <c r="F691" s="25"/>
      <c r="G691"/>
      <c r="H691" s="20"/>
    </row>
    <row r="692" spans="2:8" x14ac:dyDescent="0.25">
      <c r="B692"/>
      <c r="C692"/>
      <c r="F692" s="25"/>
      <c r="G692"/>
      <c r="H692" s="20"/>
    </row>
    <row r="693" spans="2:8" x14ac:dyDescent="0.25">
      <c r="B693"/>
      <c r="C693"/>
      <c r="F693" s="25"/>
      <c r="G693"/>
      <c r="H693" s="20"/>
    </row>
    <row r="694" spans="2:8" x14ac:dyDescent="0.25">
      <c r="B694"/>
      <c r="C694"/>
      <c r="F694" s="25"/>
      <c r="G694"/>
      <c r="H694" s="20"/>
    </row>
    <row r="695" spans="2:8" x14ac:dyDescent="0.25">
      <c r="B695"/>
      <c r="C695"/>
      <c r="F695" s="25"/>
      <c r="G695"/>
      <c r="H695" s="20"/>
    </row>
    <row r="696" spans="2:8" x14ac:dyDescent="0.25">
      <c r="B696"/>
      <c r="C696"/>
      <c r="F696" s="25"/>
      <c r="G696"/>
      <c r="H696" s="20"/>
    </row>
    <row r="697" spans="2:8" x14ac:dyDescent="0.25">
      <c r="B697"/>
      <c r="C697"/>
      <c r="F697" s="25"/>
      <c r="G697"/>
      <c r="H697" s="20"/>
    </row>
    <row r="698" spans="2:8" x14ac:dyDescent="0.25">
      <c r="B698"/>
      <c r="C698"/>
      <c r="F698" s="25"/>
      <c r="G698"/>
      <c r="H698" s="20"/>
    </row>
    <row r="699" spans="2:8" x14ac:dyDescent="0.25">
      <c r="B699"/>
      <c r="C699"/>
      <c r="F699" s="25"/>
      <c r="G699"/>
      <c r="H699" s="20"/>
    </row>
    <row r="700" spans="2:8" x14ac:dyDescent="0.25">
      <c r="B700"/>
      <c r="C700"/>
      <c r="F700" s="25"/>
      <c r="G700"/>
      <c r="H700" s="20"/>
    </row>
    <row r="701" spans="2:8" x14ac:dyDescent="0.25">
      <c r="B701"/>
      <c r="C701"/>
      <c r="F701" s="25"/>
      <c r="G701"/>
      <c r="H701" s="20"/>
    </row>
    <row r="702" spans="2:8" x14ac:dyDescent="0.25">
      <c r="B702"/>
      <c r="C702"/>
      <c r="F702" s="25"/>
      <c r="G702"/>
      <c r="H702" s="20"/>
    </row>
    <row r="703" spans="2:8" x14ac:dyDescent="0.25">
      <c r="B703"/>
      <c r="C703"/>
      <c r="F703" s="25"/>
      <c r="G703"/>
      <c r="H703" s="20"/>
    </row>
    <row r="704" spans="2:8" x14ac:dyDescent="0.25">
      <c r="B704"/>
      <c r="C704"/>
      <c r="F704" s="25"/>
      <c r="G704"/>
      <c r="H704" s="20"/>
    </row>
    <row r="705" spans="2:8" x14ac:dyDescent="0.25">
      <c r="B705"/>
      <c r="C705"/>
      <c r="F705" s="25"/>
      <c r="G705"/>
      <c r="H705" s="20"/>
    </row>
    <row r="706" spans="2:8" x14ac:dyDescent="0.25">
      <c r="B706"/>
      <c r="C706"/>
      <c r="F706" s="25"/>
      <c r="G706"/>
      <c r="H706" s="20"/>
    </row>
    <row r="707" spans="2:8" x14ac:dyDescent="0.25">
      <c r="B707"/>
      <c r="C707"/>
      <c r="F707" s="25"/>
      <c r="G707"/>
      <c r="H707" s="20"/>
    </row>
    <row r="708" spans="2:8" x14ac:dyDescent="0.25">
      <c r="B708"/>
      <c r="C708"/>
      <c r="F708" s="25"/>
      <c r="G708"/>
      <c r="H708" s="20"/>
    </row>
    <row r="709" spans="2:8" x14ac:dyDescent="0.25">
      <c r="B709"/>
      <c r="C709"/>
      <c r="F709" s="25"/>
      <c r="G709"/>
      <c r="H709" s="20"/>
    </row>
    <row r="710" spans="2:8" x14ac:dyDescent="0.25">
      <c r="B710"/>
      <c r="C710"/>
      <c r="F710" s="25"/>
      <c r="G710"/>
      <c r="H710" s="20"/>
    </row>
    <row r="711" spans="2:8" x14ac:dyDescent="0.25">
      <c r="B711"/>
      <c r="C711"/>
      <c r="F711" s="25"/>
      <c r="G711"/>
      <c r="H711" s="20"/>
    </row>
    <row r="712" spans="2:8" x14ac:dyDescent="0.25">
      <c r="B712"/>
      <c r="C712"/>
      <c r="F712" s="25"/>
      <c r="G712"/>
      <c r="H712" s="20"/>
    </row>
    <row r="713" spans="2:8" x14ac:dyDescent="0.25">
      <c r="B713"/>
      <c r="C713"/>
      <c r="F713" s="25"/>
      <c r="G713"/>
      <c r="H713" s="20"/>
    </row>
    <row r="714" spans="2:8" x14ac:dyDescent="0.25">
      <c r="B714"/>
      <c r="C714"/>
      <c r="F714" s="25"/>
      <c r="G714"/>
      <c r="H714" s="20"/>
    </row>
    <row r="715" spans="2:8" x14ac:dyDescent="0.25">
      <c r="B715"/>
      <c r="C715"/>
      <c r="F715" s="25"/>
      <c r="G715"/>
      <c r="H715" s="20"/>
    </row>
    <row r="716" spans="2:8" x14ac:dyDescent="0.25">
      <c r="B716"/>
      <c r="C716"/>
      <c r="F716" s="25"/>
      <c r="G716"/>
      <c r="H716" s="20"/>
    </row>
    <row r="717" spans="2:8" x14ac:dyDescent="0.25">
      <c r="B717"/>
      <c r="C717"/>
      <c r="F717" s="25"/>
      <c r="G717"/>
      <c r="H717" s="20"/>
    </row>
    <row r="718" spans="2:8" x14ac:dyDescent="0.25">
      <c r="B718"/>
      <c r="C718"/>
      <c r="F718" s="25"/>
      <c r="G718"/>
      <c r="H718" s="20"/>
    </row>
    <row r="719" spans="2:8" x14ac:dyDescent="0.25">
      <c r="B719"/>
      <c r="C719"/>
      <c r="F719" s="25"/>
      <c r="G719"/>
      <c r="H719" s="20"/>
    </row>
    <row r="720" spans="2:8" x14ac:dyDescent="0.25">
      <c r="B720"/>
      <c r="C720"/>
      <c r="F720" s="25"/>
      <c r="G720"/>
      <c r="H720" s="20"/>
    </row>
    <row r="721" spans="2:8" x14ac:dyDescent="0.25">
      <c r="B721"/>
      <c r="C721"/>
      <c r="F721" s="25"/>
      <c r="G721"/>
      <c r="H721" s="20"/>
    </row>
    <row r="722" spans="2:8" x14ac:dyDescent="0.25">
      <c r="B722"/>
      <c r="C722"/>
      <c r="F722" s="25"/>
      <c r="G722"/>
      <c r="H722" s="20"/>
    </row>
    <row r="723" spans="2:8" x14ac:dyDescent="0.25">
      <c r="B723"/>
      <c r="C723"/>
      <c r="F723" s="25"/>
      <c r="G723"/>
      <c r="H723" s="20"/>
    </row>
    <row r="724" spans="2:8" x14ac:dyDescent="0.25">
      <c r="B724"/>
      <c r="C724"/>
      <c r="F724" s="25"/>
      <c r="G724"/>
      <c r="H724" s="20"/>
    </row>
    <row r="725" spans="2:8" x14ac:dyDescent="0.25">
      <c r="B725"/>
      <c r="C725"/>
      <c r="F725" s="25"/>
      <c r="G725"/>
      <c r="H725" s="20"/>
    </row>
    <row r="726" spans="2:8" x14ac:dyDescent="0.25">
      <c r="B726"/>
      <c r="C726"/>
      <c r="F726" s="25"/>
      <c r="G726"/>
      <c r="H726" s="20"/>
    </row>
    <row r="727" spans="2:8" x14ac:dyDescent="0.25">
      <c r="B727"/>
      <c r="C727"/>
      <c r="F727" s="25"/>
      <c r="G727"/>
      <c r="H727" s="20"/>
    </row>
    <row r="728" spans="2:8" x14ac:dyDescent="0.25">
      <c r="B728"/>
      <c r="C728"/>
      <c r="F728" s="25"/>
      <c r="G728"/>
      <c r="H728" s="20"/>
    </row>
    <row r="729" spans="2:8" x14ac:dyDescent="0.25">
      <c r="B729"/>
      <c r="C729"/>
      <c r="F729" s="25"/>
      <c r="G729"/>
      <c r="H729" s="20"/>
    </row>
    <row r="730" spans="2:8" x14ac:dyDescent="0.25">
      <c r="B730"/>
      <c r="C730"/>
      <c r="F730" s="25"/>
      <c r="G730"/>
      <c r="H730" s="20"/>
    </row>
    <row r="731" spans="2:8" x14ac:dyDescent="0.25">
      <c r="B731"/>
      <c r="C731"/>
      <c r="F731" s="25"/>
      <c r="G731"/>
      <c r="H731" s="20"/>
    </row>
    <row r="732" spans="2:8" x14ac:dyDescent="0.25">
      <c r="B732"/>
      <c r="C732"/>
      <c r="F732" s="25"/>
      <c r="G732"/>
      <c r="H732" s="20"/>
    </row>
    <row r="733" spans="2:8" x14ac:dyDescent="0.25">
      <c r="B733"/>
      <c r="C733"/>
      <c r="F733" s="25"/>
      <c r="G733"/>
      <c r="H733" s="20"/>
    </row>
    <row r="734" spans="2:8" x14ac:dyDescent="0.25">
      <c r="B734"/>
      <c r="C734"/>
      <c r="F734" s="25"/>
      <c r="G734"/>
      <c r="H734" s="20"/>
    </row>
    <row r="735" spans="2:8" x14ac:dyDescent="0.25">
      <c r="B735"/>
      <c r="C735"/>
      <c r="F735" s="25"/>
      <c r="G735"/>
      <c r="H735" s="20"/>
    </row>
    <row r="736" spans="2:8" x14ac:dyDescent="0.25">
      <c r="B736"/>
      <c r="C736"/>
      <c r="F736" s="25"/>
      <c r="G736"/>
      <c r="H736" s="20"/>
    </row>
    <row r="737" spans="2:8" x14ac:dyDescent="0.25">
      <c r="B737"/>
      <c r="C737"/>
      <c r="F737" s="25"/>
      <c r="G737"/>
      <c r="H737" s="20"/>
    </row>
    <row r="738" spans="2:8" x14ac:dyDescent="0.25">
      <c r="B738"/>
      <c r="C738"/>
      <c r="F738" s="25"/>
      <c r="G738"/>
      <c r="H738" s="20"/>
    </row>
    <row r="739" spans="2:8" x14ac:dyDescent="0.25">
      <c r="B739"/>
      <c r="C739"/>
      <c r="F739" s="25"/>
      <c r="G739"/>
      <c r="H739" s="20"/>
    </row>
    <row r="740" spans="2:8" x14ac:dyDescent="0.25">
      <c r="B740"/>
      <c r="C740"/>
      <c r="F740" s="25"/>
      <c r="G740"/>
      <c r="H740" s="20"/>
    </row>
    <row r="741" spans="2:8" x14ac:dyDescent="0.25">
      <c r="B741"/>
      <c r="C741"/>
      <c r="F741" s="25"/>
      <c r="G741"/>
      <c r="H741" s="20"/>
    </row>
    <row r="742" spans="2:8" x14ac:dyDescent="0.25">
      <c r="B742"/>
      <c r="C742"/>
      <c r="F742" s="25"/>
      <c r="G742"/>
      <c r="H742" s="20"/>
    </row>
    <row r="743" spans="2:8" x14ac:dyDescent="0.25">
      <c r="B743"/>
      <c r="C743"/>
      <c r="F743" s="25"/>
      <c r="G743"/>
      <c r="H743" s="20"/>
    </row>
    <row r="744" spans="2:8" x14ac:dyDescent="0.25">
      <c r="B744"/>
      <c r="C744"/>
      <c r="F744" s="25"/>
      <c r="G744"/>
      <c r="H744" s="20"/>
    </row>
    <row r="745" spans="2:8" x14ac:dyDescent="0.25">
      <c r="B745"/>
      <c r="C745"/>
      <c r="F745" s="25"/>
      <c r="G745"/>
      <c r="H745" s="20"/>
    </row>
    <row r="746" spans="2:8" x14ac:dyDescent="0.25">
      <c r="B746"/>
      <c r="C746"/>
      <c r="F746" s="25"/>
      <c r="G746"/>
      <c r="H746" s="20"/>
    </row>
    <row r="747" spans="2:8" x14ac:dyDescent="0.25">
      <c r="B747"/>
      <c r="C747"/>
      <c r="F747" s="25"/>
      <c r="G747"/>
      <c r="H747" s="20"/>
    </row>
    <row r="748" spans="2:8" x14ac:dyDescent="0.25">
      <c r="B748"/>
      <c r="C748"/>
      <c r="F748" s="25"/>
      <c r="G748"/>
      <c r="H748" s="20"/>
    </row>
    <row r="749" spans="2:8" x14ac:dyDescent="0.25">
      <c r="B749"/>
      <c r="C749"/>
      <c r="F749" s="25"/>
      <c r="G749"/>
      <c r="H749" s="20"/>
    </row>
    <row r="750" spans="2:8" x14ac:dyDescent="0.25">
      <c r="B750"/>
      <c r="C750"/>
      <c r="F750" s="25"/>
      <c r="G750"/>
      <c r="H750" s="20"/>
    </row>
    <row r="751" spans="2:8" x14ac:dyDescent="0.25">
      <c r="B751"/>
      <c r="C751"/>
      <c r="F751" s="25"/>
      <c r="G751"/>
      <c r="H751" s="20"/>
    </row>
    <row r="752" spans="2:8" x14ac:dyDescent="0.25">
      <c r="B752"/>
      <c r="C752"/>
      <c r="F752" s="25"/>
      <c r="G752"/>
      <c r="H752" s="20"/>
    </row>
    <row r="753" spans="2:8" x14ac:dyDescent="0.25">
      <c r="B753"/>
      <c r="C753"/>
      <c r="F753" s="25"/>
      <c r="G753"/>
      <c r="H753" s="20"/>
    </row>
    <row r="754" spans="2:8" x14ac:dyDescent="0.25">
      <c r="B754"/>
      <c r="C754"/>
      <c r="F754" s="25"/>
      <c r="G754"/>
      <c r="H754" s="20"/>
    </row>
    <row r="755" spans="2:8" x14ac:dyDescent="0.25">
      <c r="B755"/>
      <c r="C755"/>
      <c r="F755" s="25"/>
      <c r="G755"/>
      <c r="H755" s="20"/>
    </row>
    <row r="756" spans="2:8" x14ac:dyDescent="0.25">
      <c r="B756"/>
      <c r="C756"/>
      <c r="F756" s="25"/>
      <c r="G756"/>
      <c r="H756" s="20"/>
    </row>
    <row r="757" spans="2:8" x14ac:dyDescent="0.25">
      <c r="B757"/>
      <c r="C757"/>
      <c r="F757" s="25"/>
      <c r="G757"/>
      <c r="H757" s="20"/>
    </row>
    <row r="758" spans="2:8" x14ac:dyDescent="0.25">
      <c r="B758"/>
      <c r="C758"/>
      <c r="F758" s="25"/>
      <c r="G758"/>
      <c r="H758" s="20"/>
    </row>
    <row r="759" spans="2:8" x14ac:dyDescent="0.25">
      <c r="B759"/>
      <c r="C759"/>
      <c r="F759" s="25"/>
      <c r="G759"/>
      <c r="H759" s="20"/>
    </row>
    <row r="760" spans="2:8" x14ac:dyDescent="0.25">
      <c r="B760"/>
      <c r="C760"/>
      <c r="F760" s="25"/>
      <c r="G760"/>
      <c r="H760" s="20"/>
    </row>
    <row r="761" spans="2:8" x14ac:dyDescent="0.25">
      <c r="B761"/>
      <c r="C761"/>
      <c r="F761" s="25"/>
      <c r="G761"/>
      <c r="H761" s="20"/>
    </row>
    <row r="762" spans="2:8" x14ac:dyDescent="0.25">
      <c r="B762"/>
      <c r="C762"/>
      <c r="F762" s="25"/>
      <c r="G762"/>
      <c r="H762" s="20"/>
    </row>
    <row r="763" spans="2:8" x14ac:dyDescent="0.25">
      <c r="B763"/>
      <c r="C763"/>
      <c r="F763" s="25"/>
      <c r="G763"/>
      <c r="H763" s="20"/>
    </row>
    <row r="764" spans="2:8" x14ac:dyDescent="0.25">
      <c r="B764"/>
      <c r="C764"/>
      <c r="F764" s="25"/>
      <c r="G764"/>
      <c r="H764" s="20"/>
    </row>
    <row r="765" spans="2:8" x14ac:dyDescent="0.25">
      <c r="B765"/>
      <c r="C765"/>
      <c r="F765" s="25"/>
      <c r="G765"/>
      <c r="H765" s="20"/>
    </row>
    <row r="766" spans="2:8" x14ac:dyDescent="0.25">
      <c r="B766"/>
      <c r="C766"/>
      <c r="F766" s="25"/>
      <c r="G766"/>
      <c r="H766" s="20"/>
    </row>
    <row r="767" spans="2:8" x14ac:dyDescent="0.25">
      <c r="B767"/>
      <c r="C767"/>
      <c r="F767" s="25"/>
      <c r="G767"/>
      <c r="H767" s="20"/>
    </row>
    <row r="768" spans="2:8" x14ac:dyDescent="0.25">
      <c r="B768"/>
      <c r="C768"/>
      <c r="F768" s="25"/>
      <c r="G768"/>
      <c r="H768" s="20"/>
    </row>
    <row r="769" spans="2:8" x14ac:dyDescent="0.25">
      <c r="B769"/>
      <c r="C769"/>
      <c r="F769" s="25"/>
      <c r="G769"/>
      <c r="H769" s="20"/>
    </row>
    <row r="770" spans="2:8" x14ac:dyDescent="0.25">
      <c r="B770"/>
      <c r="C770"/>
      <c r="F770" s="25"/>
      <c r="G770"/>
      <c r="H770" s="20"/>
    </row>
    <row r="771" spans="2:8" x14ac:dyDescent="0.25">
      <c r="B771"/>
      <c r="C771"/>
      <c r="F771" s="25"/>
      <c r="G771"/>
      <c r="H771" s="20"/>
    </row>
    <row r="772" spans="2:8" x14ac:dyDescent="0.25">
      <c r="B772"/>
      <c r="C772"/>
      <c r="F772" s="25"/>
      <c r="G772"/>
      <c r="H772" s="20"/>
    </row>
    <row r="773" spans="2:8" x14ac:dyDescent="0.25">
      <c r="B773"/>
      <c r="C773"/>
      <c r="F773" s="25"/>
      <c r="G773"/>
      <c r="H773" s="20"/>
    </row>
    <row r="774" spans="2:8" x14ac:dyDescent="0.25">
      <c r="B774"/>
      <c r="C774"/>
      <c r="F774" s="25"/>
      <c r="G774"/>
      <c r="H774" s="20"/>
    </row>
    <row r="775" spans="2:8" x14ac:dyDescent="0.25">
      <c r="B775"/>
      <c r="C775"/>
      <c r="F775" s="25"/>
      <c r="G775"/>
      <c r="H775" s="20"/>
    </row>
    <row r="776" spans="2:8" x14ac:dyDescent="0.25">
      <c r="B776"/>
      <c r="C776"/>
      <c r="F776" s="25"/>
      <c r="G776"/>
      <c r="H776" s="20"/>
    </row>
    <row r="777" spans="2:8" x14ac:dyDescent="0.25">
      <c r="B777"/>
      <c r="C777"/>
      <c r="F777" s="25"/>
      <c r="G777"/>
      <c r="H777" s="20"/>
    </row>
    <row r="778" spans="2:8" x14ac:dyDescent="0.25">
      <c r="B778"/>
      <c r="C778"/>
      <c r="F778" s="25"/>
      <c r="G778"/>
      <c r="H778" s="20"/>
    </row>
    <row r="779" spans="2:8" x14ac:dyDescent="0.25">
      <c r="B779"/>
      <c r="C779"/>
      <c r="F779" s="25"/>
      <c r="G779"/>
      <c r="H779" s="20"/>
    </row>
    <row r="780" spans="2:8" x14ac:dyDescent="0.25">
      <c r="B780"/>
      <c r="C780"/>
      <c r="F780" s="25"/>
      <c r="G780"/>
      <c r="H780" s="20"/>
    </row>
    <row r="781" spans="2:8" x14ac:dyDescent="0.25">
      <c r="B781"/>
      <c r="C781"/>
      <c r="F781" s="25"/>
      <c r="G781"/>
      <c r="H781" s="20"/>
    </row>
    <row r="782" spans="2:8" x14ac:dyDescent="0.25">
      <c r="B782"/>
      <c r="C782"/>
      <c r="F782" s="25"/>
      <c r="G782"/>
      <c r="H782" s="20"/>
    </row>
    <row r="783" spans="2:8" x14ac:dyDescent="0.25">
      <c r="B783"/>
      <c r="C783"/>
      <c r="F783" s="25"/>
      <c r="G783"/>
      <c r="H783" s="20"/>
    </row>
    <row r="784" spans="2:8" x14ac:dyDescent="0.25">
      <c r="B784"/>
      <c r="C784"/>
      <c r="F784" s="25"/>
      <c r="G784"/>
      <c r="H784" s="20"/>
    </row>
    <row r="785" spans="2:8" x14ac:dyDescent="0.25">
      <c r="B785"/>
      <c r="C785"/>
      <c r="F785" s="25"/>
      <c r="G785"/>
      <c r="H785" s="20"/>
    </row>
    <row r="786" spans="2:8" x14ac:dyDescent="0.25">
      <c r="B786"/>
      <c r="C786"/>
      <c r="F786" s="25"/>
      <c r="G786"/>
      <c r="H786" s="20"/>
    </row>
    <row r="787" spans="2:8" x14ac:dyDescent="0.25">
      <c r="B787"/>
      <c r="C787"/>
      <c r="F787" s="25"/>
      <c r="G787"/>
      <c r="H787" s="20"/>
    </row>
    <row r="788" spans="2:8" x14ac:dyDescent="0.25">
      <c r="B788"/>
      <c r="C788"/>
      <c r="F788" s="25"/>
      <c r="G788"/>
      <c r="H788" s="20"/>
    </row>
    <row r="789" spans="2:8" x14ac:dyDescent="0.25">
      <c r="B789"/>
      <c r="C789"/>
      <c r="F789" s="25"/>
      <c r="G789"/>
      <c r="H789" s="20"/>
    </row>
    <row r="790" spans="2:8" x14ac:dyDescent="0.25">
      <c r="B790"/>
      <c r="C790"/>
      <c r="F790" s="25"/>
      <c r="G790"/>
      <c r="H790" s="20"/>
    </row>
    <row r="791" spans="2:8" x14ac:dyDescent="0.25">
      <c r="B791"/>
      <c r="C791"/>
      <c r="F791" s="25"/>
      <c r="G791"/>
      <c r="H791" s="20"/>
    </row>
    <row r="792" spans="2:8" x14ac:dyDescent="0.25">
      <c r="B792"/>
      <c r="C792"/>
      <c r="F792" s="25"/>
      <c r="G792"/>
      <c r="H792" s="20"/>
    </row>
    <row r="793" spans="2:8" x14ac:dyDescent="0.25">
      <c r="B793"/>
      <c r="C793"/>
      <c r="F793" s="25"/>
      <c r="G793"/>
      <c r="H793" s="20"/>
    </row>
    <row r="794" spans="2:8" x14ac:dyDescent="0.25">
      <c r="B794"/>
      <c r="C794"/>
      <c r="F794" s="25"/>
      <c r="G794"/>
      <c r="H794" s="20"/>
    </row>
    <row r="795" spans="2:8" x14ac:dyDescent="0.25">
      <c r="B795"/>
      <c r="C795"/>
      <c r="F795" s="25"/>
      <c r="G795"/>
      <c r="H795" s="20"/>
    </row>
    <row r="796" spans="2:8" x14ac:dyDescent="0.25">
      <c r="B796"/>
      <c r="C796"/>
      <c r="F796" s="25"/>
      <c r="G796"/>
      <c r="H796" s="20"/>
    </row>
    <row r="797" spans="2:8" x14ac:dyDescent="0.25">
      <c r="B797"/>
      <c r="C797"/>
      <c r="F797" s="25"/>
      <c r="G797"/>
      <c r="H797" s="20"/>
    </row>
    <row r="798" spans="2:8" x14ac:dyDescent="0.25">
      <c r="B798"/>
      <c r="C798"/>
      <c r="F798" s="25"/>
      <c r="G798"/>
      <c r="H798" s="20"/>
    </row>
    <row r="799" spans="2:8" x14ac:dyDescent="0.25">
      <c r="B799"/>
      <c r="C799"/>
      <c r="F799" s="25"/>
      <c r="G799"/>
      <c r="H799" s="20"/>
    </row>
    <row r="800" spans="2:8" x14ac:dyDescent="0.25">
      <c r="B800"/>
      <c r="C800"/>
      <c r="F800" s="25"/>
      <c r="G800"/>
      <c r="H800" s="20"/>
    </row>
    <row r="801" spans="2:8" x14ac:dyDescent="0.25">
      <c r="B801"/>
      <c r="C801"/>
      <c r="F801" s="25"/>
      <c r="G801"/>
      <c r="H801" s="20"/>
    </row>
    <row r="802" spans="2:8" x14ac:dyDescent="0.25">
      <c r="B802"/>
      <c r="C802"/>
      <c r="F802" s="25"/>
      <c r="G802"/>
      <c r="H802" s="20"/>
    </row>
    <row r="803" spans="2:8" x14ac:dyDescent="0.25">
      <c r="B803"/>
      <c r="C803"/>
      <c r="F803" s="25"/>
      <c r="G803"/>
      <c r="H803" s="20"/>
    </row>
    <row r="804" spans="2:8" x14ac:dyDescent="0.25">
      <c r="B804"/>
      <c r="C804"/>
      <c r="F804" s="25"/>
      <c r="G804"/>
      <c r="H804" s="20"/>
    </row>
    <row r="805" spans="2:8" x14ac:dyDescent="0.25">
      <c r="B805"/>
      <c r="C805"/>
      <c r="F805" s="25"/>
      <c r="G805"/>
      <c r="H805" s="20"/>
    </row>
    <row r="806" spans="2:8" x14ac:dyDescent="0.25">
      <c r="B806"/>
      <c r="C806"/>
      <c r="F806" s="25"/>
      <c r="G806"/>
      <c r="H806" s="20"/>
    </row>
    <row r="807" spans="2:8" x14ac:dyDescent="0.25">
      <c r="B807"/>
      <c r="C807"/>
      <c r="F807" s="25"/>
      <c r="G807"/>
      <c r="H807" s="20"/>
    </row>
    <row r="808" spans="2:8" x14ac:dyDescent="0.25">
      <c r="B808"/>
      <c r="C808"/>
      <c r="F808" s="25"/>
      <c r="G808"/>
      <c r="H808" s="20"/>
    </row>
    <row r="809" spans="2:8" x14ac:dyDescent="0.25">
      <c r="B809"/>
      <c r="C809"/>
      <c r="F809" s="25"/>
      <c r="G809"/>
      <c r="H809" s="20"/>
    </row>
    <row r="810" spans="2:8" x14ac:dyDescent="0.25">
      <c r="B810"/>
      <c r="C810"/>
      <c r="F810" s="25"/>
      <c r="G810"/>
      <c r="H810" s="20"/>
    </row>
    <row r="811" spans="2:8" x14ac:dyDescent="0.25">
      <c r="B811"/>
      <c r="C811"/>
      <c r="F811" s="25"/>
      <c r="G811"/>
      <c r="H811" s="20"/>
    </row>
    <row r="812" spans="2:8" x14ac:dyDescent="0.25">
      <c r="B812"/>
      <c r="C812"/>
      <c r="F812" s="25"/>
      <c r="G812"/>
      <c r="H812" s="20"/>
    </row>
    <row r="813" spans="2:8" x14ac:dyDescent="0.25">
      <c r="B813"/>
      <c r="C813"/>
      <c r="F813" s="25"/>
      <c r="G813"/>
      <c r="H813" s="20"/>
    </row>
    <row r="814" spans="2:8" x14ac:dyDescent="0.25">
      <c r="B814"/>
      <c r="C814"/>
      <c r="F814" s="25"/>
      <c r="G814"/>
      <c r="H814" s="20"/>
    </row>
    <row r="815" spans="2:8" x14ac:dyDescent="0.25">
      <c r="B815"/>
      <c r="C815"/>
      <c r="F815" s="25"/>
      <c r="G815"/>
      <c r="H815" s="20"/>
    </row>
    <row r="816" spans="2:8" x14ac:dyDescent="0.25">
      <c r="B816"/>
      <c r="C816"/>
      <c r="F816" s="25"/>
      <c r="G816"/>
      <c r="H816" s="20"/>
    </row>
    <row r="817" spans="2:8" x14ac:dyDescent="0.25">
      <c r="B817"/>
      <c r="C817"/>
      <c r="F817" s="25"/>
      <c r="G817"/>
      <c r="H817" s="20"/>
    </row>
    <row r="818" spans="2:8" x14ac:dyDescent="0.25">
      <c r="B818"/>
      <c r="C818"/>
      <c r="F818" s="25"/>
      <c r="G818"/>
      <c r="H818" s="20"/>
    </row>
    <row r="819" spans="2:8" x14ac:dyDescent="0.25">
      <c r="B819"/>
      <c r="C819"/>
      <c r="F819" s="25"/>
      <c r="G819"/>
      <c r="H819" s="20"/>
    </row>
    <row r="820" spans="2:8" x14ac:dyDescent="0.25">
      <c r="B820"/>
      <c r="C820"/>
      <c r="F820" s="25"/>
      <c r="G820"/>
      <c r="H820" s="20"/>
    </row>
    <row r="821" spans="2:8" x14ac:dyDescent="0.25">
      <c r="B821"/>
      <c r="C821"/>
      <c r="F821" s="25"/>
      <c r="G821"/>
      <c r="H821" s="20"/>
    </row>
    <row r="822" spans="2:8" x14ac:dyDescent="0.25">
      <c r="B822"/>
      <c r="C822"/>
      <c r="F822" s="25"/>
      <c r="G822"/>
      <c r="H822" s="20"/>
    </row>
    <row r="823" spans="2:8" x14ac:dyDescent="0.25">
      <c r="B823"/>
      <c r="C823"/>
      <c r="F823" s="25"/>
      <c r="G823"/>
      <c r="H823" s="20"/>
    </row>
    <row r="824" spans="2:8" x14ac:dyDescent="0.25">
      <c r="B824"/>
      <c r="C824"/>
      <c r="F824" s="25"/>
      <c r="G824"/>
      <c r="H824" s="20"/>
    </row>
    <row r="825" spans="2:8" x14ac:dyDescent="0.25">
      <c r="B825"/>
      <c r="C825"/>
      <c r="F825" s="25"/>
      <c r="G825"/>
      <c r="H825" s="20"/>
    </row>
    <row r="826" spans="2:8" x14ac:dyDescent="0.25">
      <c r="B826"/>
      <c r="C826"/>
      <c r="F826" s="25"/>
      <c r="G826"/>
      <c r="H826" s="20"/>
    </row>
    <row r="827" spans="2:8" x14ac:dyDescent="0.25">
      <c r="B827"/>
      <c r="C827"/>
      <c r="F827" s="25"/>
      <c r="G827"/>
      <c r="H827" s="20"/>
    </row>
    <row r="828" spans="2:8" x14ac:dyDescent="0.25">
      <c r="B828"/>
      <c r="C828"/>
      <c r="F828" s="25"/>
      <c r="G828"/>
      <c r="H828" s="20"/>
    </row>
    <row r="829" spans="2:8" x14ac:dyDescent="0.25">
      <c r="B829"/>
      <c r="C829"/>
      <c r="F829" s="25"/>
      <c r="G829"/>
      <c r="H829" s="20"/>
    </row>
    <row r="830" spans="2:8" x14ac:dyDescent="0.25">
      <c r="B830"/>
      <c r="C830"/>
      <c r="F830" s="25"/>
      <c r="G830"/>
      <c r="H830" s="20"/>
    </row>
    <row r="831" spans="2:8" x14ac:dyDescent="0.25">
      <c r="B831"/>
      <c r="C831"/>
      <c r="F831" s="25"/>
      <c r="G831"/>
      <c r="H831" s="20"/>
    </row>
    <row r="832" spans="2:8" x14ac:dyDescent="0.25">
      <c r="B832"/>
      <c r="C832"/>
      <c r="F832" s="25"/>
      <c r="G832"/>
      <c r="H832" s="20"/>
    </row>
    <row r="833" spans="2:8" x14ac:dyDescent="0.25">
      <c r="B833"/>
      <c r="C833"/>
      <c r="F833" s="25"/>
      <c r="G833"/>
      <c r="H833" s="20"/>
    </row>
    <row r="834" spans="2:8" x14ac:dyDescent="0.25">
      <c r="B834"/>
      <c r="C834"/>
      <c r="F834" s="25"/>
      <c r="G834"/>
      <c r="H834" s="20"/>
    </row>
    <row r="835" spans="2:8" x14ac:dyDescent="0.25">
      <c r="B835"/>
      <c r="C835"/>
      <c r="F835" s="25"/>
      <c r="G835"/>
      <c r="H835" s="20"/>
    </row>
    <row r="836" spans="2:8" x14ac:dyDescent="0.25">
      <c r="B836"/>
      <c r="C836"/>
      <c r="F836" s="25"/>
      <c r="G836"/>
      <c r="H836" s="20"/>
    </row>
    <row r="837" spans="2:8" x14ac:dyDescent="0.25">
      <c r="B837"/>
      <c r="C837"/>
      <c r="F837" s="25"/>
      <c r="G837"/>
      <c r="H837" s="20"/>
    </row>
    <row r="838" spans="2:8" x14ac:dyDescent="0.25">
      <c r="B838"/>
      <c r="C838"/>
      <c r="F838" s="25"/>
      <c r="G838"/>
      <c r="H838" s="20"/>
    </row>
    <row r="839" spans="2:8" x14ac:dyDescent="0.25">
      <c r="B839"/>
      <c r="C839"/>
      <c r="F839" s="25"/>
      <c r="G839"/>
      <c r="H839" s="20"/>
    </row>
    <row r="840" spans="2:8" x14ac:dyDescent="0.25">
      <c r="B840"/>
      <c r="C840"/>
      <c r="F840" s="25"/>
      <c r="G840"/>
      <c r="H840" s="20"/>
    </row>
    <row r="841" spans="2:8" x14ac:dyDescent="0.25">
      <c r="B841"/>
      <c r="C841"/>
      <c r="F841" s="25"/>
      <c r="G841"/>
      <c r="H841" s="20"/>
    </row>
    <row r="842" spans="2:8" x14ac:dyDescent="0.25">
      <c r="B842"/>
      <c r="C842"/>
      <c r="F842" s="25"/>
      <c r="G842"/>
      <c r="H842" s="20"/>
    </row>
    <row r="843" spans="2:8" x14ac:dyDescent="0.25">
      <c r="B843"/>
      <c r="C843"/>
      <c r="F843" s="25"/>
      <c r="G843"/>
      <c r="H843" s="20"/>
    </row>
    <row r="844" spans="2:8" x14ac:dyDescent="0.25">
      <c r="B844"/>
      <c r="C844"/>
      <c r="F844" s="25"/>
      <c r="G844"/>
      <c r="H844" s="20"/>
    </row>
    <row r="845" spans="2:8" x14ac:dyDescent="0.25">
      <c r="B845"/>
      <c r="C845"/>
      <c r="F845" s="25"/>
      <c r="G845"/>
      <c r="H845" s="20"/>
    </row>
    <row r="846" spans="2:8" x14ac:dyDescent="0.25">
      <c r="B846"/>
      <c r="C846"/>
      <c r="F846" s="25"/>
      <c r="G846"/>
      <c r="H846" s="20"/>
    </row>
    <row r="847" spans="2:8" x14ac:dyDescent="0.25">
      <c r="B847"/>
      <c r="C847"/>
      <c r="F847" s="25"/>
      <c r="G847"/>
      <c r="H847" s="20"/>
    </row>
    <row r="848" spans="2:8" x14ac:dyDescent="0.25">
      <c r="B848"/>
      <c r="C848"/>
      <c r="F848" s="25"/>
      <c r="G848"/>
      <c r="H848" s="20"/>
    </row>
    <row r="849" spans="2:8" x14ac:dyDescent="0.25">
      <c r="B849"/>
      <c r="C849"/>
      <c r="F849" s="25"/>
      <c r="G849"/>
      <c r="H849" s="20"/>
    </row>
    <row r="850" spans="2:8" x14ac:dyDescent="0.25">
      <c r="B850"/>
      <c r="C850"/>
      <c r="F850" s="25"/>
      <c r="G850"/>
      <c r="H850" s="20"/>
    </row>
    <row r="851" spans="2:8" x14ac:dyDescent="0.25">
      <c r="B851"/>
      <c r="C851"/>
      <c r="F851" s="25"/>
      <c r="G851"/>
      <c r="H851" s="20"/>
    </row>
    <row r="852" spans="2:8" x14ac:dyDescent="0.25">
      <c r="B852"/>
      <c r="C852"/>
      <c r="F852" s="25"/>
      <c r="G852"/>
      <c r="H852" s="20"/>
    </row>
    <row r="853" spans="2:8" x14ac:dyDescent="0.25">
      <c r="B853"/>
      <c r="C853"/>
      <c r="F853" s="25"/>
      <c r="G853"/>
      <c r="H853" s="20"/>
    </row>
    <row r="854" spans="2:8" x14ac:dyDescent="0.25">
      <c r="B854"/>
      <c r="C854"/>
      <c r="F854" s="25"/>
      <c r="G854"/>
      <c r="H854" s="20"/>
    </row>
    <row r="855" spans="2:8" x14ac:dyDescent="0.25">
      <c r="B855"/>
      <c r="C855"/>
      <c r="F855" s="25"/>
      <c r="G855"/>
      <c r="H855" s="20"/>
    </row>
    <row r="856" spans="2:8" x14ac:dyDescent="0.25">
      <c r="B856"/>
      <c r="C856"/>
      <c r="F856" s="25"/>
      <c r="G856"/>
      <c r="H856" s="20"/>
    </row>
    <row r="857" spans="2:8" x14ac:dyDescent="0.25">
      <c r="B857"/>
      <c r="C857"/>
      <c r="F857" s="25"/>
      <c r="G857"/>
      <c r="H857" s="20"/>
    </row>
    <row r="858" spans="2:8" x14ac:dyDescent="0.25">
      <c r="B858"/>
      <c r="C858"/>
      <c r="F858" s="25"/>
      <c r="G858"/>
      <c r="H858" s="20"/>
    </row>
    <row r="859" spans="2:8" x14ac:dyDescent="0.25">
      <c r="B859"/>
      <c r="C859"/>
      <c r="F859" s="25"/>
      <c r="G859"/>
      <c r="H859" s="20"/>
    </row>
    <row r="860" spans="2:8" x14ac:dyDescent="0.25">
      <c r="B860"/>
      <c r="C860"/>
      <c r="F860" s="25"/>
      <c r="G860"/>
      <c r="H860" s="20"/>
    </row>
    <row r="861" spans="2:8" x14ac:dyDescent="0.25">
      <c r="B861"/>
      <c r="C861"/>
      <c r="F861" s="25"/>
      <c r="G861"/>
      <c r="H861" s="20"/>
    </row>
    <row r="862" spans="2:8" x14ac:dyDescent="0.25">
      <c r="B862"/>
      <c r="C862"/>
      <c r="F862" s="25"/>
      <c r="G862"/>
      <c r="H862" s="20"/>
    </row>
    <row r="863" spans="2:8" x14ac:dyDescent="0.25">
      <c r="B863"/>
      <c r="C863"/>
      <c r="F863" s="25"/>
      <c r="G863"/>
      <c r="H863" s="20"/>
    </row>
    <row r="864" spans="2:8" x14ac:dyDescent="0.25">
      <c r="B864"/>
      <c r="C864"/>
      <c r="F864" s="25"/>
      <c r="G864"/>
      <c r="H864" s="20"/>
    </row>
    <row r="865" spans="2:8" x14ac:dyDescent="0.25">
      <c r="B865"/>
      <c r="C865"/>
      <c r="F865" s="25"/>
      <c r="G865"/>
      <c r="H865" s="20"/>
    </row>
    <row r="866" spans="2:8" x14ac:dyDescent="0.25">
      <c r="B866"/>
      <c r="C866"/>
      <c r="F866" s="25"/>
      <c r="G866"/>
      <c r="H866" s="20"/>
    </row>
    <row r="867" spans="2:8" x14ac:dyDescent="0.25">
      <c r="B867"/>
      <c r="C867"/>
      <c r="F867" s="25"/>
      <c r="G867"/>
      <c r="H867" s="20"/>
    </row>
    <row r="868" spans="2:8" x14ac:dyDescent="0.25">
      <c r="B868"/>
      <c r="C868"/>
      <c r="F868" s="25"/>
      <c r="G868"/>
      <c r="H868" s="20"/>
    </row>
    <row r="869" spans="2:8" x14ac:dyDescent="0.25">
      <c r="B869"/>
      <c r="C869"/>
      <c r="F869" s="25"/>
      <c r="G869"/>
      <c r="H869" s="20"/>
    </row>
    <row r="870" spans="2:8" x14ac:dyDescent="0.25">
      <c r="B870"/>
      <c r="C870"/>
      <c r="F870" s="25"/>
      <c r="G870"/>
      <c r="H870" s="20"/>
    </row>
    <row r="871" spans="2:8" x14ac:dyDescent="0.25">
      <c r="B871"/>
      <c r="C871"/>
      <c r="F871" s="25"/>
      <c r="G871"/>
      <c r="H871" s="20"/>
    </row>
    <row r="872" spans="2:8" x14ac:dyDescent="0.25">
      <c r="B872"/>
      <c r="C872"/>
      <c r="F872" s="25"/>
      <c r="G872"/>
      <c r="H872" s="20"/>
    </row>
    <row r="873" spans="2:8" x14ac:dyDescent="0.25">
      <c r="B873"/>
      <c r="C873"/>
      <c r="F873" s="25"/>
      <c r="G873"/>
      <c r="H873" s="20"/>
    </row>
    <row r="874" spans="2:8" x14ac:dyDescent="0.25">
      <c r="B874"/>
      <c r="C874"/>
      <c r="F874" s="25"/>
      <c r="G874"/>
      <c r="H874" s="20"/>
    </row>
    <row r="875" spans="2:8" x14ac:dyDescent="0.25">
      <c r="B875"/>
      <c r="C875"/>
      <c r="F875" s="25"/>
      <c r="G875"/>
      <c r="H875" s="20"/>
    </row>
    <row r="876" spans="2:8" x14ac:dyDescent="0.25">
      <c r="B876"/>
      <c r="C876"/>
      <c r="F876" s="25"/>
      <c r="G876"/>
      <c r="H876" s="20"/>
    </row>
    <row r="877" spans="2:8" x14ac:dyDescent="0.25">
      <c r="B877"/>
      <c r="C877"/>
      <c r="F877" s="25"/>
      <c r="G877"/>
      <c r="H877" s="20"/>
    </row>
    <row r="878" spans="2:8" x14ac:dyDescent="0.25">
      <c r="B878"/>
      <c r="C878"/>
      <c r="F878" s="25"/>
      <c r="G878"/>
      <c r="H878" s="20"/>
    </row>
    <row r="879" spans="2:8" x14ac:dyDescent="0.25">
      <c r="B879"/>
      <c r="C879"/>
      <c r="F879" s="25"/>
      <c r="G879"/>
      <c r="H879" s="20"/>
    </row>
    <row r="880" spans="2:8" x14ac:dyDescent="0.25">
      <c r="B880"/>
      <c r="C880"/>
      <c r="F880" s="25"/>
      <c r="G880"/>
      <c r="H880" s="20"/>
    </row>
    <row r="881" spans="2:8" x14ac:dyDescent="0.25">
      <c r="B881"/>
      <c r="C881"/>
      <c r="F881" s="25"/>
      <c r="G881"/>
      <c r="H881" s="20"/>
    </row>
    <row r="882" spans="2:8" x14ac:dyDescent="0.25">
      <c r="B882"/>
      <c r="C882"/>
      <c r="F882" s="25"/>
      <c r="G882"/>
      <c r="H882" s="20"/>
    </row>
    <row r="883" spans="2:8" x14ac:dyDescent="0.25">
      <c r="B883"/>
      <c r="C883"/>
      <c r="F883" s="25"/>
      <c r="G883"/>
      <c r="H883" s="20"/>
    </row>
    <row r="884" spans="2:8" x14ac:dyDescent="0.25">
      <c r="B884"/>
      <c r="C884"/>
      <c r="F884" s="25"/>
      <c r="G884"/>
      <c r="H884" s="20"/>
    </row>
    <row r="885" spans="2:8" x14ac:dyDescent="0.25">
      <c r="B885"/>
      <c r="C885"/>
      <c r="F885" s="25"/>
      <c r="G885"/>
      <c r="H885" s="20"/>
    </row>
    <row r="886" spans="2:8" x14ac:dyDescent="0.25">
      <c r="B886"/>
      <c r="C886"/>
      <c r="F886" s="25"/>
      <c r="G886"/>
      <c r="H886" s="20"/>
    </row>
    <row r="887" spans="2:8" x14ac:dyDescent="0.25">
      <c r="B887"/>
      <c r="C887"/>
      <c r="F887" s="25"/>
      <c r="G887"/>
      <c r="H887" s="20"/>
    </row>
    <row r="888" spans="2:8" x14ac:dyDescent="0.25">
      <c r="B888"/>
      <c r="C888"/>
      <c r="F888" s="25"/>
      <c r="G888"/>
      <c r="H888" s="20"/>
    </row>
    <row r="889" spans="2:8" x14ac:dyDescent="0.25">
      <c r="B889"/>
      <c r="C889"/>
      <c r="F889" s="25"/>
      <c r="G889"/>
      <c r="H889" s="20"/>
    </row>
    <row r="890" spans="2:8" x14ac:dyDescent="0.25">
      <c r="B890"/>
      <c r="C890"/>
      <c r="F890" s="25"/>
      <c r="G890"/>
      <c r="H890" s="20"/>
    </row>
    <row r="891" spans="2:8" x14ac:dyDescent="0.25">
      <c r="B891"/>
      <c r="C891"/>
      <c r="F891" s="25"/>
      <c r="G891"/>
      <c r="H891" s="20"/>
    </row>
    <row r="892" spans="2:8" x14ac:dyDescent="0.25">
      <c r="B892"/>
      <c r="C892"/>
      <c r="F892" s="25"/>
      <c r="G892"/>
      <c r="H892" s="20"/>
    </row>
    <row r="893" spans="2:8" x14ac:dyDescent="0.25">
      <c r="B893"/>
      <c r="C893"/>
      <c r="F893" s="25"/>
      <c r="G893"/>
      <c r="H893" s="20"/>
    </row>
    <row r="894" spans="2:8" x14ac:dyDescent="0.25">
      <c r="B894"/>
      <c r="C894"/>
      <c r="F894" s="25"/>
      <c r="G894"/>
      <c r="H894" s="20"/>
    </row>
    <row r="895" spans="2:8" x14ac:dyDescent="0.25">
      <c r="B895"/>
      <c r="C895"/>
      <c r="F895" s="25"/>
      <c r="G895"/>
      <c r="H895" s="20"/>
    </row>
    <row r="896" spans="2:8" x14ac:dyDescent="0.25">
      <c r="B896"/>
      <c r="C896"/>
      <c r="F896" s="25"/>
      <c r="G896"/>
      <c r="H896" s="20"/>
    </row>
    <row r="897" spans="2:8" x14ac:dyDescent="0.25">
      <c r="B897"/>
      <c r="C897"/>
      <c r="F897" s="25"/>
      <c r="G897"/>
      <c r="H897" s="20"/>
    </row>
    <row r="898" spans="2:8" x14ac:dyDescent="0.25">
      <c r="B898"/>
      <c r="C898"/>
      <c r="F898" s="25"/>
      <c r="G898"/>
      <c r="H898" s="20"/>
    </row>
    <row r="899" spans="2:8" x14ac:dyDescent="0.25">
      <c r="B899"/>
      <c r="C899"/>
      <c r="F899" s="25"/>
      <c r="G899"/>
      <c r="H899" s="20"/>
    </row>
    <row r="900" spans="2:8" x14ac:dyDescent="0.25">
      <c r="B900"/>
      <c r="C900"/>
      <c r="F900" s="25"/>
      <c r="G900"/>
      <c r="H900" s="20"/>
    </row>
    <row r="901" spans="2:8" x14ac:dyDescent="0.25">
      <c r="B901"/>
      <c r="C901"/>
      <c r="F901" s="25"/>
      <c r="G901"/>
      <c r="H901" s="20"/>
    </row>
    <row r="902" spans="2:8" x14ac:dyDescent="0.25">
      <c r="B902"/>
      <c r="C902"/>
      <c r="F902" s="25"/>
      <c r="G902"/>
      <c r="H902" s="20"/>
    </row>
    <row r="903" spans="2:8" x14ac:dyDescent="0.25">
      <c r="B903"/>
      <c r="C903"/>
      <c r="F903" s="25"/>
      <c r="G903"/>
      <c r="H903" s="20"/>
    </row>
    <row r="904" spans="2:8" x14ac:dyDescent="0.25">
      <c r="B904"/>
      <c r="C904"/>
      <c r="F904" s="25"/>
      <c r="G904"/>
      <c r="H904" s="20"/>
    </row>
    <row r="905" spans="2:8" x14ac:dyDescent="0.25">
      <c r="B905"/>
      <c r="C905"/>
      <c r="F905" s="25"/>
      <c r="G905"/>
      <c r="H905" s="20"/>
    </row>
    <row r="906" spans="2:8" x14ac:dyDescent="0.25">
      <c r="B906"/>
      <c r="C906"/>
      <c r="F906" s="25"/>
      <c r="G906"/>
      <c r="H906" s="20"/>
    </row>
    <row r="907" spans="2:8" x14ac:dyDescent="0.25">
      <c r="B907"/>
      <c r="C907"/>
      <c r="F907" s="25"/>
      <c r="G907"/>
      <c r="H907" s="20"/>
    </row>
    <row r="908" spans="2:8" x14ac:dyDescent="0.25">
      <c r="B908"/>
      <c r="C908"/>
      <c r="F908" s="25"/>
      <c r="G908"/>
      <c r="H908" s="20"/>
    </row>
    <row r="909" spans="2:8" x14ac:dyDescent="0.25">
      <c r="B909"/>
      <c r="C909"/>
      <c r="F909" s="25"/>
      <c r="G909"/>
      <c r="H909" s="20"/>
    </row>
    <row r="910" spans="2:8" x14ac:dyDescent="0.25">
      <c r="B910"/>
      <c r="C910"/>
      <c r="F910" s="25"/>
      <c r="G910"/>
      <c r="H910" s="20"/>
    </row>
    <row r="911" spans="2:8" x14ac:dyDescent="0.25">
      <c r="B911"/>
      <c r="C911"/>
      <c r="F911" s="25"/>
      <c r="G911"/>
      <c r="H911" s="20"/>
    </row>
    <row r="912" spans="2:8" x14ac:dyDescent="0.25">
      <c r="B912"/>
      <c r="C912"/>
      <c r="F912" s="25"/>
      <c r="G912"/>
      <c r="H912" s="20"/>
    </row>
    <row r="913" spans="2:8" x14ac:dyDescent="0.25">
      <c r="B913"/>
      <c r="C913"/>
      <c r="F913" s="25"/>
      <c r="G913"/>
      <c r="H913" s="20"/>
    </row>
    <row r="914" spans="2:8" x14ac:dyDescent="0.25">
      <c r="B914"/>
      <c r="C914"/>
      <c r="F914" s="25"/>
      <c r="G914"/>
      <c r="H914" s="20"/>
    </row>
    <row r="915" spans="2:8" x14ac:dyDescent="0.25">
      <c r="B915"/>
      <c r="C915"/>
      <c r="F915" s="25"/>
      <c r="G915"/>
      <c r="H915" s="20"/>
    </row>
    <row r="916" spans="2:8" x14ac:dyDescent="0.25">
      <c r="B916"/>
      <c r="C916"/>
      <c r="F916" s="25"/>
      <c r="G916"/>
      <c r="H916" s="20"/>
    </row>
    <row r="917" spans="2:8" x14ac:dyDescent="0.25">
      <c r="B917"/>
      <c r="C917"/>
      <c r="F917" s="25"/>
      <c r="G917"/>
      <c r="H917" s="20"/>
    </row>
    <row r="918" spans="2:8" x14ac:dyDescent="0.25">
      <c r="B918"/>
      <c r="C918"/>
      <c r="F918" s="25"/>
      <c r="G918"/>
      <c r="H918" s="20"/>
    </row>
    <row r="919" spans="2:8" x14ac:dyDescent="0.25">
      <c r="B919"/>
      <c r="C919"/>
      <c r="F919" s="25"/>
      <c r="G919"/>
      <c r="H919" s="20"/>
    </row>
    <row r="920" spans="2:8" x14ac:dyDescent="0.25">
      <c r="B920"/>
      <c r="C920"/>
      <c r="F920" s="25"/>
      <c r="G920"/>
      <c r="H920" s="20"/>
    </row>
    <row r="921" spans="2:8" x14ac:dyDescent="0.25">
      <c r="B921"/>
      <c r="C921"/>
      <c r="F921" s="25"/>
      <c r="G921"/>
      <c r="H921" s="20"/>
    </row>
    <row r="922" spans="2:8" x14ac:dyDescent="0.25">
      <c r="B922"/>
      <c r="C922"/>
      <c r="F922" s="25"/>
      <c r="G922"/>
      <c r="H922" s="20"/>
    </row>
    <row r="923" spans="2:8" x14ac:dyDescent="0.25">
      <c r="B923"/>
      <c r="C923"/>
      <c r="F923" s="25"/>
      <c r="G923"/>
      <c r="H923" s="20"/>
    </row>
    <row r="924" spans="2:8" x14ac:dyDescent="0.25">
      <c r="B924"/>
      <c r="C924"/>
      <c r="F924" s="25"/>
      <c r="G924"/>
      <c r="H924" s="20"/>
    </row>
    <row r="925" spans="2:8" x14ac:dyDescent="0.25">
      <c r="B925"/>
      <c r="C925"/>
      <c r="F925" s="25"/>
      <c r="G925"/>
      <c r="H925" s="20"/>
    </row>
    <row r="926" spans="2:8" x14ac:dyDescent="0.25">
      <c r="B926"/>
      <c r="C926"/>
      <c r="F926" s="25"/>
      <c r="G926"/>
      <c r="H926" s="20"/>
    </row>
    <row r="927" spans="2:8" x14ac:dyDescent="0.25">
      <c r="B927"/>
      <c r="C927"/>
      <c r="F927" s="25"/>
      <c r="G927"/>
      <c r="H927" s="20"/>
    </row>
    <row r="928" spans="2:8" x14ac:dyDescent="0.25">
      <c r="B928"/>
      <c r="C928"/>
      <c r="F928" s="25"/>
      <c r="G928"/>
      <c r="H928" s="20"/>
    </row>
    <row r="929" spans="2:8" x14ac:dyDescent="0.25">
      <c r="B929"/>
      <c r="C929"/>
      <c r="F929" s="25"/>
      <c r="G929"/>
      <c r="H929" s="20"/>
    </row>
    <row r="930" spans="2:8" x14ac:dyDescent="0.25">
      <c r="B930"/>
      <c r="C930"/>
      <c r="F930" s="25"/>
      <c r="G930"/>
      <c r="H930" s="20"/>
    </row>
    <row r="931" spans="2:8" x14ac:dyDescent="0.25">
      <c r="B931"/>
      <c r="C931"/>
      <c r="F931" s="25"/>
      <c r="G931"/>
      <c r="H931" s="20"/>
    </row>
    <row r="932" spans="2:8" x14ac:dyDescent="0.25">
      <c r="B932"/>
      <c r="C932"/>
      <c r="F932" s="25"/>
      <c r="G932"/>
      <c r="H932" s="20"/>
    </row>
    <row r="933" spans="2:8" x14ac:dyDescent="0.25">
      <c r="B933"/>
      <c r="C933"/>
      <c r="F933" s="25"/>
      <c r="G933"/>
      <c r="H933" s="20"/>
    </row>
    <row r="934" spans="2:8" x14ac:dyDescent="0.25">
      <c r="B934"/>
      <c r="C934"/>
      <c r="F934" s="25"/>
      <c r="G934"/>
      <c r="H934" s="20"/>
    </row>
    <row r="935" spans="2:8" x14ac:dyDescent="0.25">
      <c r="B935"/>
      <c r="C935"/>
      <c r="F935" s="25"/>
      <c r="G935"/>
      <c r="H935" s="20"/>
    </row>
    <row r="936" spans="2:8" x14ac:dyDescent="0.25">
      <c r="B936"/>
      <c r="C936"/>
      <c r="F936" s="25"/>
      <c r="G936"/>
      <c r="H936" s="20"/>
    </row>
    <row r="937" spans="2:8" x14ac:dyDescent="0.25">
      <c r="B937"/>
      <c r="C937"/>
      <c r="F937" s="25"/>
      <c r="G937"/>
      <c r="H937" s="20"/>
    </row>
    <row r="938" spans="2:8" x14ac:dyDescent="0.25">
      <c r="B938"/>
      <c r="C938"/>
      <c r="F938" s="25"/>
      <c r="G938"/>
      <c r="H938" s="20"/>
    </row>
    <row r="939" spans="2:8" x14ac:dyDescent="0.25">
      <c r="B939"/>
      <c r="C939"/>
      <c r="F939" s="25"/>
      <c r="G939"/>
      <c r="H939" s="20"/>
    </row>
    <row r="940" spans="2:8" x14ac:dyDescent="0.25">
      <c r="B940"/>
      <c r="C940"/>
      <c r="F940" s="25"/>
      <c r="G940"/>
      <c r="H940" s="20"/>
    </row>
    <row r="941" spans="2:8" x14ac:dyDescent="0.25">
      <c r="B941"/>
      <c r="C941"/>
      <c r="F941" s="25"/>
      <c r="G941"/>
      <c r="H941" s="20"/>
    </row>
    <row r="942" spans="2:8" x14ac:dyDescent="0.25">
      <c r="B942"/>
      <c r="C942"/>
      <c r="F942" s="25"/>
      <c r="G942"/>
      <c r="H942" s="20"/>
    </row>
    <row r="943" spans="2:8" x14ac:dyDescent="0.25">
      <c r="B943"/>
      <c r="C943"/>
      <c r="F943" s="25"/>
      <c r="G943"/>
      <c r="H943" s="20"/>
    </row>
    <row r="944" spans="2:8" x14ac:dyDescent="0.25">
      <c r="B944"/>
      <c r="C944"/>
      <c r="F944" s="25"/>
      <c r="G944"/>
      <c r="H944" s="20"/>
    </row>
    <row r="945" spans="2:8" x14ac:dyDescent="0.25">
      <c r="B945"/>
      <c r="C945"/>
      <c r="F945" s="25"/>
      <c r="G945"/>
      <c r="H945" s="20"/>
    </row>
    <row r="946" spans="2:8" x14ac:dyDescent="0.25">
      <c r="B946"/>
      <c r="C946"/>
      <c r="F946" s="25"/>
      <c r="G946"/>
      <c r="H946" s="20"/>
    </row>
    <row r="947" spans="2:8" x14ac:dyDescent="0.25">
      <c r="B947"/>
      <c r="C947"/>
      <c r="F947" s="25"/>
      <c r="G947"/>
      <c r="H947" s="20"/>
    </row>
    <row r="948" spans="2:8" x14ac:dyDescent="0.25">
      <c r="B948"/>
      <c r="C948"/>
      <c r="F948" s="25"/>
      <c r="G948"/>
      <c r="H948" s="20"/>
    </row>
    <row r="949" spans="2:8" x14ac:dyDescent="0.25">
      <c r="B949"/>
      <c r="C949"/>
      <c r="F949" s="25"/>
      <c r="G949"/>
      <c r="H949" s="20"/>
    </row>
    <row r="950" spans="2:8" x14ac:dyDescent="0.25">
      <c r="B950"/>
      <c r="C950"/>
      <c r="F950" s="25"/>
      <c r="G950"/>
      <c r="H950" s="20"/>
    </row>
    <row r="951" spans="2:8" x14ac:dyDescent="0.25">
      <c r="B951"/>
      <c r="C951"/>
      <c r="F951" s="25"/>
      <c r="G951"/>
      <c r="H951" s="20"/>
    </row>
    <row r="952" spans="2:8" x14ac:dyDescent="0.25">
      <c r="B952"/>
      <c r="C952"/>
      <c r="F952" s="25"/>
      <c r="G952"/>
      <c r="H952" s="20"/>
    </row>
    <row r="953" spans="2:8" x14ac:dyDescent="0.25">
      <c r="B953"/>
      <c r="C953"/>
      <c r="F953" s="25"/>
      <c r="G953"/>
      <c r="H953" s="20"/>
    </row>
    <row r="954" spans="2:8" x14ac:dyDescent="0.25">
      <c r="B954"/>
      <c r="C954"/>
      <c r="F954" s="25"/>
      <c r="G954"/>
      <c r="H954" s="20"/>
    </row>
    <row r="955" spans="2:8" x14ac:dyDescent="0.25">
      <c r="B955"/>
      <c r="C955"/>
      <c r="F955" s="25"/>
      <c r="G955"/>
      <c r="H955" s="20"/>
    </row>
    <row r="956" spans="2:8" x14ac:dyDescent="0.25">
      <c r="B956"/>
      <c r="C956"/>
      <c r="F956" s="25"/>
      <c r="G956"/>
      <c r="H956" s="20"/>
    </row>
    <row r="957" spans="2:8" x14ac:dyDescent="0.25">
      <c r="B957"/>
      <c r="C957"/>
      <c r="F957" s="25"/>
      <c r="G957"/>
      <c r="H957" s="20"/>
    </row>
    <row r="958" spans="2:8" x14ac:dyDescent="0.25">
      <c r="B958"/>
      <c r="C958"/>
      <c r="F958" s="25"/>
      <c r="G958"/>
      <c r="H958" s="20"/>
    </row>
    <row r="959" spans="2:8" x14ac:dyDescent="0.25">
      <c r="B959"/>
      <c r="C959"/>
      <c r="F959" s="25"/>
      <c r="G959"/>
      <c r="H959" s="20"/>
    </row>
    <row r="960" spans="2:8" x14ac:dyDescent="0.25">
      <c r="B960"/>
      <c r="C960"/>
      <c r="F960" s="25"/>
      <c r="G960"/>
      <c r="H960" s="20"/>
    </row>
    <row r="961" spans="2:8" x14ac:dyDescent="0.25">
      <c r="B961"/>
      <c r="C961"/>
      <c r="F961" s="25"/>
      <c r="G961"/>
      <c r="H961" s="20"/>
    </row>
    <row r="962" spans="2:8" x14ac:dyDescent="0.25">
      <c r="B962"/>
      <c r="C962"/>
      <c r="F962" s="25"/>
      <c r="G962"/>
      <c r="H962" s="20"/>
    </row>
    <row r="963" spans="2:8" x14ac:dyDescent="0.25">
      <c r="B963"/>
      <c r="C963"/>
      <c r="F963" s="25"/>
      <c r="G963"/>
      <c r="H963" s="20"/>
    </row>
    <row r="964" spans="2:8" x14ac:dyDescent="0.25">
      <c r="B964"/>
      <c r="C964"/>
      <c r="F964" s="25"/>
      <c r="G964"/>
      <c r="H964" s="20"/>
    </row>
    <row r="965" spans="2:8" x14ac:dyDescent="0.25">
      <c r="B965"/>
      <c r="C965"/>
      <c r="F965" s="25"/>
      <c r="G965"/>
      <c r="H965" s="20"/>
    </row>
    <row r="966" spans="2:8" x14ac:dyDescent="0.25">
      <c r="B966"/>
      <c r="C966"/>
      <c r="F966" s="25"/>
      <c r="G966"/>
      <c r="H966" s="20"/>
    </row>
    <row r="967" spans="2:8" x14ac:dyDescent="0.25">
      <c r="B967"/>
      <c r="C967"/>
      <c r="F967" s="25"/>
      <c r="G967"/>
      <c r="H967" s="20"/>
    </row>
    <row r="968" spans="2:8" x14ac:dyDescent="0.25">
      <c r="B968"/>
      <c r="C968"/>
      <c r="F968" s="25"/>
      <c r="G968"/>
      <c r="H968" s="20"/>
    </row>
    <row r="969" spans="2:8" x14ac:dyDescent="0.25">
      <c r="B969"/>
      <c r="C969"/>
      <c r="F969" s="25"/>
      <c r="G969"/>
      <c r="H969" s="20"/>
    </row>
    <row r="970" spans="2:8" x14ac:dyDescent="0.25">
      <c r="B970"/>
      <c r="C970"/>
      <c r="F970" s="25"/>
      <c r="G970"/>
      <c r="H970" s="20"/>
    </row>
    <row r="971" spans="2:8" x14ac:dyDescent="0.25">
      <c r="B971"/>
      <c r="C971"/>
      <c r="F971" s="25"/>
      <c r="G971"/>
      <c r="H971" s="20"/>
    </row>
    <row r="972" spans="2:8" x14ac:dyDescent="0.25">
      <c r="B972"/>
      <c r="C972"/>
      <c r="F972" s="25"/>
      <c r="G972"/>
      <c r="H972" s="20"/>
    </row>
    <row r="973" spans="2:8" x14ac:dyDescent="0.25">
      <c r="B973"/>
      <c r="C973"/>
      <c r="F973" s="25"/>
      <c r="G973"/>
      <c r="H973" s="20"/>
    </row>
    <row r="974" spans="2:8" x14ac:dyDescent="0.25">
      <c r="B974"/>
      <c r="C974"/>
      <c r="F974" s="25"/>
      <c r="G974"/>
      <c r="H974" s="20"/>
    </row>
    <row r="975" spans="2:8" x14ac:dyDescent="0.25">
      <c r="B975"/>
      <c r="C975"/>
      <c r="F975" s="25"/>
      <c r="G975"/>
      <c r="H975" s="20"/>
    </row>
    <row r="976" spans="2:8" x14ac:dyDescent="0.25">
      <c r="B976"/>
      <c r="C976"/>
      <c r="F976" s="25"/>
      <c r="G976"/>
      <c r="H976" s="20"/>
    </row>
    <row r="977" spans="2:8" x14ac:dyDescent="0.25">
      <c r="B977"/>
      <c r="C977"/>
      <c r="F977" s="25"/>
      <c r="G977"/>
      <c r="H977" s="20"/>
    </row>
    <row r="978" spans="2:8" x14ac:dyDescent="0.25">
      <c r="B978"/>
      <c r="C978"/>
      <c r="F978" s="25"/>
      <c r="G978"/>
      <c r="H978" s="20"/>
    </row>
    <row r="979" spans="2:8" x14ac:dyDescent="0.25">
      <c r="B979"/>
      <c r="C979"/>
      <c r="F979" s="25"/>
      <c r="G979"/>
      <c r="H979" s="20"/>
    </row>
    <row r="980" spans="2:8" x14ac:dyDescent="0.25">
      <c r="B980"/>
      <c r="C980"/>
      <c r="F980" s="25"/>
      <c r="G980"/>
      <c r="H980" s="20"/>
    </row>
    <row r="981" spans="2:8" x14ac:dyDescent="0.25">
      <c r="B981"/>
      <c r="C981"/>
      <c r="F981" s="25"/>
      <c r="G981"/>
      <c r="H981" s="20"/>
    </row>
    <row r="982" spans="2:8" x14ac:dyDescent="0.25">
      <c r="B982"/>
      <c r="C982"/>
      <c r="F982" s="25"/>
      <c r="G982"/>
      <c r="H982" s="20"/>
    </row>
    <row r="983" spans="2:8" x14ac:dyDescent="0.25">
      <c r="B983"/>
      <c r="C983"/>
      <c r="F983" s="25"/>
      <c r="G983"/>
      <c r="H983" s="20"/>
    </row>
    <row r="984" spans="2:8" x14ac:dyDescent="0.25">
      <c r="B984"/>
      <c r="C984"/>
      <c r="F984" s="25"/>
      <c r="G984"/>
      <c r="H984" s="20"/>
    </row>
    <row r="985" spans="2:8" x14ac:dyDescent="0.25">
      <c r="B985"/>
      <c r="C985"/>
      <c r="F985" s="25"/>
      <c r="G985"/>
      <c r="H985" s="20"/>
    </row>
    <row r="986" spans="2:8" x14ac:dyDescent="0.25">
      <c r="B986"/>
      <c r="C986"/>
      <c r="F986" s="25"/>
      <c r="G986"/>
      <c r="H986" s="20"/>
    </row>
    <row r="987" spans="2:8" x14ac:dyDescent="0.25">
      <c r="B987"/>
      <c r="C987"/>
      <c r="F987" s="25"/>
      <c r="G987"/>
      <c r="H987" s="20"/>
    </row>
    <row r="988" spans="2:8" x14ac:dyDescent="0.25">
      <c r="B988"/>
      <c r="C988"/>
      <c r="F988" s="25"/>
      <c r="G988"/>
      <c r="H988" s="20"/>
    </row>
    <row r="989" spans="2:8" x14ac:dyDescent="0.25">
      <c r="B989"/>
      <c r="C989"/>
      <c r="F989" s="25"/>
      <c r="G989"/>
      <c r="H989" s="20"/>
    </row>
    <row r="990" spans="2:8" x14ac:dyDescent="0.25">
      <c r="B990"/>
      <c r="C990"/>
      <c r="F990" s="25"/>
      <c r="G990"/>
      <c r="H990" s="20"/>
    </row>
    <row r="991" spans="2:8" x14ac:dyDescent="0.25">
      <c r="B991"/>
      <c r="C991"/>
      <c r="F991" s="25"/>
      <c r="G991"/>
      <c r="H991" s="20"/>
    </row>
    <row r="992" spans="2:8" x14ac:dyDescent="0.25">
      <c r="B992"/>
      <c r="C992"/>
      <c r="F992" s="25"/>
      <c r="G992"/>
      <c r="H992" s="20"/>
    </row>
    <row r="993" spans="2:8" x14ac:dyDescent="0.25">
      <c r="B993"/>
      <c r="C993"/>
      <c r="F993" s="25"/>
      <c r="G993"/>
      <c r="H993" s="20"/>
    </row>
    <row r="994" spans="2:8" x14ac:dyDescent="0.25">
      <c r="B994"/>
      <c r="C994"/>
      <c r="F994" s="25"/>
      <c r="G994"/>
      <c r="H994" s="20"/>
    </row>
    <row r="995" spans="2:8" x14ac:dyDescent="0.25">
      <c r="B995"/>
      <c r="C995"/>
      <c r="F995" s="25"/>
      <c r="G995"/>
      <c r="H995" s="20"/>
    </row>
    <row r="996" spans="2:8" x14ac:dyDescent="0.25">
      <c r="B996"/>
      <c r="C996"/>
      <c r="F996" s="25"/>
      <c r="G996"/>
      <c r="H996" s="20"/>
    </row>
    <row r="997" spans="2:8" x14ac:dyDescent="0.25">
      <c r="B997"/>
      <c r="C997"/>
      <c r="F997" s="25"/>
      <c r="G997"/>
      <c r="H997" s="20"/>
    </row>
    <row r="998" spans="2:8" x14ac:dyDescent="0.25">
      <c r="B998"/>
      <c r="C998"/>
      <c r="F998" s="25"/>
      <c r="G998"/>
      <c r="H998" s="20"/>
    </row>
    <row r="999" spans="2:8" x14ac:dyDescent="0.25">
      <c r="B999"/>
      <c r="C999"/>
      <c r="F999" s="25"/>
      <c r="G999"/>
      <c r="H999" s="20"/>
    </row>
    <row r="1000" spans="2:8" x14ac:dyDescent="0.25">
      <c r="B1000"/>
      <c r="C1000"/>
      <c r="F1000" s="25"/>
      <c r="G1000"/>
      <c r="H1000" s="20"/>
    </row>
    <row r="1001" spans="2:8" x14ac:dyDescent="0.25">
      <c r="B1001"/>
      <c r="C1001"/>
      <c r="F1001" s="25"/>
      <c r="G1001"/>
      <c r="H1001" s="20"/>
    </row>
    <row r="1002" spans="2:8" x14ac:dyDescent="0.25">
      <c r="B1002"/>
      <c r="C1002"/>
      <c r="F1002" s="25"/>
      <c r="G1002"/>
      <c r="H1002" s="20"/>
    </row>
    <row r="1003" spans="2:8" x14ac:dyDescent="0.25">
      <c r="B1003"/>
      <c r="C1003"/>
      <c r="F1003" s="25"/>
      <c r="G1003"/>
      <c r="H1003" s="20"/>
    </row>
    <row r="1004" spans="2:8" x14ac:dyDescent="0.25">
      <c r="B1004"/>
      <c r="C1004"/>
      <c r="F1004" s="25"/>
      <c r="G1004"/>
      <c r="H1004" s="20"/>
    </row>
    <row r="1005" spans="2:8" x14ac:dyDescent="0.25">
      <c r="B1005"/>
      <c r="C1005"/>
      <c r="F1005" s="25"/>
      <c r="G1005"/>
      <c r="H1005" s="20"/>
    </row>
    <row r="1006" spans="2:8" x14ac:dyDescent="0.25">
      <c r="B1006"/>
      <c r="C1006"/>
      <c r="F1006" s="25"/>
      <c r="G1006"/>
      <c r="H1006" s="20"/>
    </row>
    <row r="1007" spans="2:8" x14ac:dyDescent="0.25">
      <c r="B1007"/>
      <c r="C1007"/>
      <c r="F1007" s="25"/>
      <c r="G1007"/>
      <c r="H1007" s="20"/>
    </row>
    <row r="1008" spans="2:8" x14ac:dyDescent="0.25">
      <c r="B1008"/>
      <c r="C1008"/>
      <c r="F1008" s="25"/>
      <c r="G1008"/>
      <c r="H1008" s="20"/>
    </row>
    <row r="1009" spans="2:8" x14ac:dyDescent="0.25">
      <c r="B1009"/>
      <c r="C1009"/>
      <c r="F1009" s="25"/>
      <c r="G1009"/>
      <c r="H1009" s="20"/>
    </row>
    <row r="1010" spans="2:8" x14ac:dyDescent="0.25">
      <c r="B1010"/>
      <c r="C1010"/>
      <c r="F1010" s="25"/>
      <c r="G1010"/>
      <c r="H1010" s="20"/>
    </row>
    <row r="1011" spans="2:8" x14ac:dyDescent="0.25">
      <c r="B1011"/>
      <c r="C1011"/>
      <c r="F1011" s="25"/>
      <c r="G1011"/>
      <c r="H1011" s="20"/>
    </row>
    <row r="1012" spans="2:8" x14ac:dyDescent="0.25">
      <c r="B1012"/>
      <c r="C1012"/>
      <c r="F1012" s="25"/>
      <c r="G1012"/>
      <c r="H1012" s="20"/>
    </row>
    <row r="1013" spans="2:8" x14ac:dyDescent="0.25">
      <c r="B1013"/>
      <c r="C1013"/>
      <c r="F1013" s="25"/>
      <c r="G1013"/>
      <c r="H1013" s="20"/>
    </row>
    <row r="1014" spans="2:8" x14ac:dyDescent="0.25">
      <c r="B1014"/>
      <c r="C1014"/>
      <c r="F1014" s="25"/>
      <c r="G1014"/>
      <c r="H1014" s="20"/>
    </row>
    <row r="1015" spans="2:8" x14ac:dyDescent="0.25">
      <c r="B1015"/>
      <c r="C1015"/>
      <c r="F1015" s="25"/>
      <c r="G1015"/>
      <c r="H1015" s="20"/>
    </row>
    <row r="1016" spans="2:8" x14ac:dyDescent="0.25">
      <c r="B1016"/>
      <c r="C1016"/>
      <c r="F1016" s="25"/>
      <c r="G1016"/>
      <c r="H1016" s="20"/>
    </row>
    <row r="1017" spans="2:8" x14ac:dyDescent="0.25">
      <c r="B1017"/>
      <c r="C1017"/>
      <c r="F1017" s="25"/>
      <c r="G1017"/>
      <c r="H1017" s="20"/>
    </row>
    <row r="1018" spans="2:8" x14ac:dyDescent="0.25">
      <c r="B1018"/>
      <c r="C1018"/>
      <c r="F1018" s="25"/>
      <c r="G1018"/>
      <c r="H1018" s="20"/>
    </row>
    <row r="1019" spans="2:8" x14ac:dyDescent="0.25">
      <c r="B1019"/>
      <c r="C1019"/>
      <c r="F1019" s="25"/>
      <c r="G1019"/>
      <c r="H1019" s="20"/>
    </row>
    <row r="1020" spans="2:8" x14ac:dyDescent="0.25">
      <c r="B1020"/>
      <c r="C1020"/>
      <c r="F1020" s="25"/>
      <c r="G1020"/>
      <c r="H1020" s="20"/>
    </row>
    <row r="1021" spans="2:8" x14ac:dyDescent="0.25">
      <c r="B1021"/>
      <c r="C1021"/>
      <c r="F1021" s="25"/>
      <c r="G1021"/>
      <c r="H1021" s="20"/>
    </row>
    <row r="1022" spans="2:8" x14ac:dyDescent="0.25">
      <c r="B1022"/>
      <c r="C1022"/>
      <c r="F1022" s="25"/>
      <c r="G1022"/>
      <c r="H1022" s="20"/>
    </row>
    <row r="1023" spans="2:8" x14ac:dyDescent="0.25">
      <c r="B1023"/>
      <c r="C1023"/>
      <c r="F1023" s="25"/>
      <c r="G1023"/>
      <c r="H1023" s="20"/>
    </row>
    <row r="1024" spans="2:8" x14ac:dyDescent="0.25">
      <c r="B1024"/>
      <c r="C1024"/>
      <c r="F1024" s="25"/>
      <c r="G1024"/>
      <c r="H1024" s="20"/>
    </row>
    <row r="1025" spans="2:8" x14ac:dyDescent="0.25">
      <c r="B1025"/>
      <c r="C1025"/>
      <c r="F1025" s="25"/>
      <c r="G1025"/>
      <c r="H1025" s="20"/>
    </row>
    <row r="1026" spans="2:8" x14ac:dyDescent="0.25">
      <c r="B1026"/>
      <c r="C1026"/>
      <c r="F1026" s="25"/>
      <c r="G1026"/>
      <c r="H1026" s="20"/>
    </row>
    <row r="1027" spans="2:8" x14ac:dyDescent="0.25">
      <c r="B1027"/>
      <c r="C1027"/>
      <c r="F1027" s="25"/>
      <c r="G1027"/>
      <c r="H1027" s="20"/>
    </row>
    <row r="1028" spans="2:8" x14ac:dyDescent="0.25">
      <c r="B1028"/>
      <c r="C1028"/>
      <c r="F1028" s="25"/>
      <c r="G1028"/>
      <c r="H1028" s="20"/>
    </row>
    <row r="1029" spans="2:8" x14ac:dyDescent="0.25">
      <c r="B1029"/>
      <c r="C1029"/>
      <c r="F1029" s="25"/>
      <c r="G1029"/>
      <c r="H1029" s="20"/>
    </row>
  </sheetData>
  <autoFilter ref="A1:P487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CBE50-3008-4434-B3A8-6DA04076D335}">
  <dimension ref="B1:Q30"/>
  <sheetViews>
    <sheetView workbookViewId="0">
      <pane ySplit="1" topLeftCell="A2" activePane="bottomLeft" state="frozen"/>
      <selection pane="bottomLeft" activeCell="E2" sqref="E2:F2"/>
    </sheetView>
  </sheetViews>
  <sheetFormatPr defaultRowHeight="15" x14ac:dyDescent="0.25"/>
  <cols>
    <col min="2" max="2" width="33.140625" customWidth="1"/>
    <col min="3" max="3" width="23.5703125" customWidth="1"/>
    <col min="4" max="4" width="23.5703125" style="8" customWidth="1"/>
    <col min="5" max="5" width="41.42578125" customWidth="1"/>
    <col min="6" max="6" width="68.28515625" customWidth="1"/>
    <col min="7" max="7" width="25.42578125" customWidth="1"/>
    <col min="8" max="8" width="15.85546875" style="2" customWidth="1"/>
    <col min="9" max="9" width="13.42578125" style="2" customWidth="1"/>
    <col min="10" max="10" width="17.140625" style="2" customWidth="1"/>
    <col min="11" max="11" width="21.5703125" customWidth="1"/>
    <col min="12" max="12" width="12" style="2" customWidth="1"/>
    <col min="13" max="13" width="13" style="2" customWidth="1"/>
    <col min="14" max="14" width="14" style="2" customWidth="1"/>
    <col min="15" max="15" width="19.140625" customWidth="1"/>
    <col min="16" max="16" width="14.85546875" customWidth="1"/>
    <col min="17" max="17" width="10.140625" style="18" bestFit="1" customWidth="1"/>
  </cols>
  <sheetData>
    <row r="1" spans="2:17" ht="51" customHeight="1" x14ac:dyDescent="0.25">
      <c r="B1" s="9" t="s">
        <v>1</v>
      </c>
      <c r="C1" s="9" t="s">
        <v>14</v>
      </c>
      <c r="D1" s="10" t="s">
        <v>15</v>
      </c>
      <c r="E1" s="9" t="s">
        <v>22</v>
      </c>
      <c r="F1" s="9" t="s">
        <v>20</v>
      </c>
      <c r="G1" s="11" t="s">
        <v>16</v>
      </c>
      <c r="H1" s="11" t="s">
        <v>17</v>
      </c>
      <c r="I1" s="11" t="s">
        <v>18</v>
      </c>
      <c r="J1" s="11" t="s">
        <v>19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53</v>
      </c>
      <c r="P1" s="11" t="s">
        <v>59</v>
      </c>
      <c r="Q1" s="17" t="s">
        <v>65</v>
      </c>
    </row>
    <row r="2" spans="2:17" ht="94.5" customHeight="1" x14ac:dyDescent="0.25">
      <c r="B2" t="s">
        <v>51</v>
      </c>
      <c r="C2" s="12"/>
      <c r="D2" s="13"/>
      <c r="E2" s="3" t="s">
        <v>50</v>
      </c>
      <c r="F2" s="12"/>
      <c r="G2" s="14"/>
      <c r="H2" s="14"/>
      <c r="I2" s="14"/>
      <c r="J2" s="14"/>
      <c r="K2" s="14"/>
      <c r="L2" s="14"/>
      <c r="O2" t="s">
        <v>64</v>
      </c>
      <c r="P2" t="s">
        <v>64</v>
      </c>
    </row>
    <row r="3" spans="2:17" ht="171.75" customHeight="1" x14ac:dyDescent="0.25">
      <c r="B3" t="s">
        <v>27</v>
      </c>
      <c r="C3">
        <v>8541401004</v>
      </c>
      <c r="D3" s="8">
        <v>3</v>
      </c>
      <c r="E3" s="3" t="s">
        <v>44</v>
      </c>
      <c r="F3" s="3" t="s">
        <v>52</v>
      </c>
      <c r="G3" s="3"/>
      <c r="M3" s="15"/>
      <c r="O3" t="s">
        <v>64</v>
      </c>
      <c r="P3" t="s">
        <v>64</v>
      </c>
      <c r="Q3" s="18">
        <v>4.9000000000000002E-2</v>
      </c>
    </row>
    <row r="4" spans="2:17" ht="78" customHeight="1" x14ac:dyDescent="0.25">
      <c r="B4" t="s">
        <v>73</v>
      </c>
      <c r="C4">
        <v>8541401004</v>
      </c>
      <c r="D4" s="8">
        <v>6.5</v>
      </c>
      <c r="E4" s="3" t="s">
        <v>44</v>
      </c>
      <c r="F4" s="3" t="s">
        <v>52</v>
      </c>
      <c r="G4" s="3"/>
      <c r="M4" s="15"/>
      <c r="O4" t="s">
        <v>64</v>
      </c>
      <c r="P4" t="s">
        <v>64</v>
      </c>
      <c r="Q4" s="18">
        <v>4.9000000000000002E-2</v>
      </c>
    </row>
    <row r="5" spans="2:17" ht="17.850000000000001" customHeight="1" x14ac:dyDescent="0.25">
      <c r="B5" t="s">
        <v>75</v>
      </c>
      <c r="C5">
        <v>8541401004</v>
      </c>
      <c r="D5" s="8">
        <v>6.5</v>
      </c>
      <c r="E5" s="3" t="s">
        <v>74</v>
      </c>
      <c r="F5" s="3" t="s">
        <v>52</v>
      </c>
      <c r="G5" s="3"/>
      <c r="M5" s="15"/>
      <c r="O5" t="s">
        <v>64</v>
      </c>
      <c r="P5" t="s">
        <v>64</v>
      </c>
      <c r="Q5" s="18">
        <v>1.0489999999999999</v>
      </c>
    </row>
    <row r="6" spans="2:17" ht="17.850000000000001" customHeight="1" x14ac:dyDescent="0.25">
      <c r="B6" t="s">
        <v>77</v>
      </c>
      <c r="C6">
        <v>8541401004</v>
      </c>
      <c r="D6" s="8">
        <v>4.4000000000000004</v>
      </c>
      <c r="E6" s="3" t="s">
        <v>76</v>
      </c>
      <c r="F6" s="3" t="s">
        <v>52</v>
      </c>
      <c r="G6" s="3"/>
      <c r="M6" s="15"/>
    </row>
    <row r="7" spans="2:17" ht="98.25" customHeight="1" x14ac:dyDescent="0.25">
      <c r="B7" t="s">
        <v>42</v>
      </c>
      <c r="C7">
        <v>8541401004</v>
      </c>
      <c r="E7" s="3" t="s">
        <v>43</v>
      </c>
      <c r="F7" s="3" t="s">
        <v>26</v>
      </c>
      <c r="G7" s="3"/>
      <c r="M7" s="15"/>
      <c r="O7" t="s">
        <v>64</v>
      </c>
      <c r="P7" t="s">
        <v>64</v>
      </c>
      <c r="Q7" s="18">
        <v>4.9000000000000002E-2</v>
      </c>
    </row>
    <row r="8" spans="2:17" ht="98.25" customHeight="1" x14ac:dyDescent="0.25">
      <c r="E8" s="3"/>
      <c r="F8" s="3"/>
      <c r="G8" s="3"/>
      <c r="M8" s="15"/>
    </row>
    <row r="9" spans="2:17" ht="98.25" customHeight="1" x14ac:dyDescent="0.25">
      <c r="B9" t="s">
        <v>62</v>
      </c>
      <c r="E9" s="3"/>
      <c r="F9" s="3"/>
      <c r="G9" s="3"/>
      <c r="M9" s="15"/>
      <c r="O9" t="s">
        <v>64</v>
      </c>
      <c r="P9" t="s">
        <v>64</v>
      </c>
    </row>
    <row r="10" spans="2:17" ht="98.25" customHeight="1" x14ac:dyDescent="0.25">
      <c r="B10" t="s">
        <v>28</v>
      </c>
      <c r="C10">
        <v>8541401004</v>
      </c>
      <c r="D10" s="22">
        <v>0.74</v>
      </c>
      <c r="E10" s="3" t="s">
        <v>25</v>
      </c>
      <c r="F10" s="3" t="s">
        <v>26</v>
      </c>
      <c r="G10" s="3"/>
      <c r="M10" s="15"/>
      <c r="O10" t="s">
        <v>64</v>
      </c>
      <c r="P10" t="s">
        <v>64</v>
      </c>
      <c r="Q10" s="18">
        <v>1.3541600000000001E-2</v>
      </c>
    </row>
    <row r="11" spans="2:17" ht="74.25" customHeight="1" x14ac:dyDescent="0.25">
      <c r="B11" s="3" t="s">
        <v>66</v>
      </c>
      <c r="C11">
        <v>8541410004</v>
      </c>
      <c r="D11" s="8">
        <v>1</v>
      </c>
      <c r="E11" s="3" t="s">
        <v>63</v>
      </c>
      <c r="F11" s="3" t="s">
        <v>26</v>
      </c>
      <c r="G11" s="3"/>
      <c r="M11" s="15"/>
      <c r="O11" t="s">
        <v>64</v>
      </c>
      <c r="P11" t="s">
        <v>64</v>
      </c>
      <c r="Q11" s="18">
        <v>1.7999999999999999E-2</v>
      </c>
    </row>
    <row r="12" spans="2:17" ht="90" customHeight="1" x14ac:dyDescent="0.25">
      <c r="B12" t="s">
        <v>29</v>
      </c>
      <c r="C12">
        <v>8541401004</v>
      </c>
      <c r="D12" s="22">
        <v>0.84</v>
      </c>
      <c r="E12" s="3" t="s">
        <v>41</v>
      </c>
      <c r="F12" s="3" t="s">
        <v>26</v>
      </c>
      <c r="G12" s="3"/>
      <c r="M12" s="15"/>
      <c r="O12" t="s">
        <v>64</v>
      </c>
      <c r="P12" t="s">
        <v>64</v>
      </c>
      <c r="Q12" s="18">
        <v>0.05</v>
      </c>
    </row>
    <row r="13" spans="2:17" ht="98.25" customHeight="1" x14ac:dyDescent="0.25">
      <c r="B13" s="3" t="s">
        <v>32</v>
      </c>
      <c r="C13">
        <v>9405920008</v>
      </c>
      <c r="D13" s="8">
        <v>2.1</v>
      </c>
      <c r="E13" s="3" t="s">
        <v>40</v>
      </c>
      <c r="F13" s="3" t="s">
        <v>23</v>
      </c>
      <c r="G13" s="3"/>
      <c r="M13" s="15"/>
      <c r="O13" t="s">
        <v>64</v>
      </c>
      <c r="P13" t="s">
        <v>64</v>
      </c>
      <c r="Q13" s="18">
        <v>0.08</v>
      </c>
    </row>
    <row r="14" spans="2:17" ht="87.75" customHeight="1" x14ac:dyDescent="0.25">
      <c r="B14" t="s">
        <v>30</v>
      </c>
      <c r="C14">
        <v>9405920008</v>
      </c>
      <c r="E14" s="3" t="s">
        <v>34</v>
      </c>
      <c r="F14" s="3" t="s">
        <v>23</v>
      </c>
      <c r="G14" s="3"/>
      <c r="O14" t="s">
        <v>64</v>
      </c>
      <c r="P14" t="s">
        <v>64</v>
      </c>
      <c r="Q14" s="18">
        <v>4.4600000000000001E-2</v>
      </c>
    </row>
    <row r="15" spans="2:17" ht="87.75" customHeight="1" x14ac:dyDescent="0.25">
      <c r="B15" s="3" t="s">
        <v>70</v>
      </c>
      <c r="C15">
        <v>8541401004</v>
      </c>
      <c r="D15" s="8">
        <v>0.91</v>
      </c>
      <c r="E15" s="3" t="s">
        <v>71</v>
      </c>
      <c r="F15" s="3" t="s">
        <v>72</v>
      </c>
      <c r="G15" s="3"/>
    </row>
    <row r="16" spans="2:17" ht="44.25" customHeight="1" x14ac:dyDescent="0.25">
      <c r="B16" t="s">
        <v>31</v>
      </c>
      <c r="C16">
        <v>3926909709</v>
      </c>
      <c r="D16" s="8">
        <v>0.19</v>
      </c>
      <c r="E16" s="3" t="s">
        <v>33</v>
      </c>
      <c r="F16" s="3" t="s">
        <v>24</v>
      </c>
      <c r="G16" s="3"/>
      <c r="O16" t="s">
        <v>64</v>
      </c>
      <c r="P16" t="s">
        <v>64</v>
      </c>
      <c r="Q16" s="18">
        <v>7.3200000000000001E-3</v>
      </c>
    </row>
    <row r="17" spans="2:17" ht="70.5" customHeight="1" x14ac:dyDescent="0.25">
      <c r="B17" t="s">
        <v>36</v>
      </c>
      <c r="C17">
        <v>8536901000</v>
      </c>
      <c r="D17" s="8">
        <v>0.17</v>
      </c>
      <c r="E17" s="3" t="s">
        <v>35</v>
      </c>
      <c r="F17" s="3" t="s">
        <v>39</v>
      </c>
      <c r="G17" s="3"/>
      <c r="O17" t="s">
        <v>64</v>
      </c>
      <c r="P17" t="s">
        <v>64</v>
      </c>
      <c r="Q17" s="18">
        <v>4.0000000000000003E-5</v>
      </c>
    </row>
    <row r="18" spans="2:17" ht="66.75" customHeight="1" x14ac:dyDescent="0.25">
      <c r="B18" t="s">
        <v>37</v>
      </c>
      <c r="C18">
        <v>8536901000</v>
      </c>
      <c r="D18" s="8">
        <v>0.21</v>
      </c>
      <c r="E18" s="3" t="s">
        <v>38</v>
      </c>
      <c r="F18" s="3" t="s">
        <v>39</v>
      </c>
      <c r="G18" s="3"/>
      <c r="O18" t="s">
        <v>64</v>
      </c>
      <c r="P18" t="s">
        <v>64</v>
      </c>
      <c r="Q18" s="18">
        <v>0.02</v>
      </c>
    </row>
    <row r="19" spans="2:17" ht="86.25" customHeight="1" x14ac:dyDescent="0.25">
      <c r="B19" t="s">
        <v>46</v>
      </c>
      <c r="C19">
        <v>9405990008</v>
      </c>
      <c r="E19" s="3" t="s">
        <v>48</v>
      </c>
      <c r="F19" s="3" t="s">
        <v>45</v>
      </c>
      <c r="G19" s="3"/>
      <c r="O19" t="s">
        <v>64</v>
      </c>
      <c r="P19" t="s">
        <v>64</v>
      </c>
    </row>
    <row r="20" spans="2:17" ht="58.5" customHeight="1" x14ac:dyDescent="0.25">
      <c r="B20" t="s">
        <v>47</v>
      </c>
      <c r="C20">
        <v>9405990008</v>
      </c>
      <c r="E20" s="3" t="s">
        <v>49</v>
      </c>
      <c r="F20" s="3" t="s">
        <v>45</v>
      </c>
      <c r="G20" s="3"/>
      <c r="O20" t="s">
        <v>64</v>
      </c>
      <c r="P20" t="s">
        <v>64</v>
      </c>
    </row>
    <row r="21" spans="2:17" ht="150" x14ac:dyDescent="0.25">
      <c r="B21" t="s">
        <v>67</v>
      </c>
      <c r="C21">
        <v>7318141000</v>
      </c>
      <c r="D21" s="8">
        <v>4.0000000000000001E-3</v>
      </c>
      <c r="E21" s="3" t="s">
        <v>68</v>
      </c>
      <c r="F21" s="3" t="s">
        <v>69</v>
      </c>
      <c r="O21" t="s">
        <v>64</v>
      </c>
      <c r="P21" t="s">
        <v>64</v>
      </c>
      <c r="Q21" s="18">
        <v>8.0000000000000004E-4</v>
      </c>
    </row>
    <row r="22" spans="2:17" x14ac:dyDescent="0.25">
      <c r="E22" s="3"/>
    </row>
    <row r="23" spans="2:17" x14ac:dyDescent="0.25">
      <c r="E23" s="3"/>
    </row>
    <row r="24" spans="2:17" x14ac:dyDescent="0.25">
      <c r="E24" s="3"/>
    </row>
    <row r="25" spans="2:17" x14ac:dyDescent="0.25">
      <c r="E25" s="3"/>
    </row>
    <row r="26" spans="2:17" x14ac:dyDescent="0.25">
      <c r="E26" s="3"/>
    </row>
    <row r="27" spans="2:17" x14ac:dyDescent="0.25">
      <c r="E27" s="3"/>
    </row>
    <row r="28" spans="2:17" x14ac:dyDescent="0.25">
      <c r="E28" s="3"/>
    </row>
    <row r="29" spans="2:17" x14ac:dyDescent="0.25">
      <c r="E29" s="3"/>
    </row>
    <row r="30" spans="2:17" x14ac:dyDescent="0.25">
      <c r="E30" s="3"/>
    </row>
  </sheetData>
  <autoFilter ref="B1:P21" xr:uid="{91ACBE50-3008-4434-B3A8-6DA04076D335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1E95-DA5E-4905-A62C-867282E9273F}">
  <dimension ref="A1"/>
  <sheetViews>
    <sheetView workbookViewId="0">
      <selection activeCell="D34" sqref="D3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Stasy</dc:creator>
  <cp:lastModifiedBy>Анастасия Арбузова</cp:lastModifiedBy>
  <dcterms:created xsi:type="dcterms:W3CDTF">2015-06-05T18:17:20Z</dcterms:created>
  <dcterms:modified xsi:type="dcterms:W3CDTF">2025-07-08T13:27:03Z</dcterms:modified>
</cp:coreProperties>
</file>