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heckCompatibility="1"/>
  <mc:AlternateContent xmlns:mc="http://schemas.openxmlformats.org/markup-compatibility/2006">
    <mc:Choice Requires="x15">
      <x15ac:absPath xmlns:x15ac="http://schemas.microsoft.com/office/spreadsheetml/2010/11/ac" url="C:\Users\Stasy\Desktop\Энергосбережение\ВЭД\Импорт\поставщики\комплектующие для фонарей\Гари\3R2024062615 от 26.04.2024 ВТБ\спец 7\"/>
    </mc:Choice>
  </mc:AlternateContent>
  <xr:revisionPtr revIDLastSave="0" documentId="13_ncr:1_{7EBB4B3F-AAF0-4569-B6EE-400C7726D382}" xr6:coauthVersionLast="47" xr6:coauthVersionMax="47" xr10:uidLastSave="{00000000-0000-0000-0000-000000000000}"/>
  <bookViews>
    <workbookView xWindow="28680" yWindow="-120" windowWidth="29040" windowHeight="15840" xr2:uid="{00000000-000D-0000-FFFF-FFFF00000000}"/>
  </bookViews>
  <sheets>
    <sheet name="Sheet1" sheetId="1" r:id="rId1"/>
  </sheets>
  <calcPr calcId="191029" refMode="R1C1"/>
  <extLst>
    <ext uri="GoogleSheetsCustomDataVersion2">
      <go:sheetsCustomData xmlns:go="http://customooxmlschemas.google.com/" r:id="rId5" roundtripDataChecksum="aU2Fo/IazcXLAbSYOZlTRvgK6cjGlZmwS87Q0fDHJYs="/>
    </ext>
  </extLst>
</workbook>
</file>

<file path=xl/calcChain.xml><?xml version="1.0" encoding="utf-8"?>
<calcChain xmlns="http://schemas.openxmlformats.org/spreadsheetml/2006/main">
  <c r="A21" i="1" l="1"/>
  <c r="E17" i="1"/>
  <c r="K17" i="1" s="1"/>
  <c r="E16" i="1"/>
  <c r="K16" i="1" s="1"/>
  <c r="H17" i="1"/>
  <c r="H16" i="1"/>
  <c r="B17" i="1"/>
  <c r="B16" i="1"/>
  <c r="G17" i="1"/>
  <c r="G16" i="1"/>
  <c r="H12" i="1"/>
  <c r="H11" i="1"/>
  <c r="E12" i="1"/>
  <c r="K12" i="1" s="1"/>
  <c r="E11" i="1"/>
  <c r="K11" i="1" s="1"/>
  <c r="B12" i="1"/>
  <c r="B11" i="1"/>
  <c r="G12" i="1"/>
  <c r="G11" i="1"/>
  <c r="J7" i="1"/>
  <c r="J6" i="1"/>
  <c r="E7" i="1"/>
  <c r="E6" i="1"/>
  <c r="I7" i="1"/>
  <c r="I6" i="1"/>
  <c r="G7" i="1"/>
  <c r="G6" i="1"/>
  <c r="E8" i="1" l="1"/>
  <c r="K6" i="1"/>
  <c r="K7" i="1"/>
  <c r="K8" i="1" l="1"/>
  <c r="G21" i="1" s="1"/>
</calcChain>
</file>

<file path=xl/sharedStrings.xml><?xml version="1.0" encoding="utf-8"?>
<sst xmlns="http://schemas.openxmlformats.org/spreadsheetml/2006/main" count="47" uniqueCount="46">
  <si>
    <t>Shenzhen 3Ray Lighting Technology Co. Ltd, (China), here in after referred as Seller, represented by the Director Gary Zhang on one hand, and the LLC PK “ENERGOSBEREZHENIE” (Russia), here in after referred to as Buyer represented by the  Head of Foreign Trade Department Alla Alexeeva on the other hand, have concluded the present Specification as follows:</t>
  </si>
  <si>
    <t>Shenzhen 3Ray Lighting Technology Co. Ltd, (Китай), именуемое в дальнейшем «Продавец», в лице Директора Gary Zhang, с одной стороны, и ООО ПК «Энергосбережение», (Россия), именуемое в дальнейшем «Покупатель», в лице Руководителя отдела ВЭД   Алексеевой Аллы Вячеславовны, с другой стороны, заключили настоящее Спецификацию о нижеследующем:</t>
  </si>
  <si>
    <r>
      <rPr>
        <b/>
        <sz val="11"/>
        <color theme="1"/>
        <rFont val="Calibri"/>
      </rPr>
      <t xml:space="preserve">1. Goods
</t>
    </r>
    <r>
      <rPr>
        <sz val="10"/>
        <color theme="1"/>
        <rFont val="Calibri"/>
      </rPr>
      <t>Name, quality specification</t>
    </r>
  </si>
  <si>
    <r>
      <rPr>
        <b/>
        <sz val="11"/>
        <color theme="1"/>
        <rFont val="Calibri"/>
      </rPr>
      <t>1. Товар</t>
    </r>
    <r>
      <rPr>
        <b/>
        <sz val="10"/>
        <color theme="1"/>
        <rFont val="Calibri"/>
      </rPr>
      <t xml:space="preserve">
</t>
    </r>
    <r>
      <rPr>
        <sz val="10"/>
        <color theme="1"/>
        <rFont val="Calibri"/>
      </rPr>
      <t xml:space="preserve"> Наименование, качественные характеристики</t>
    </r>
  </si>
  <si>
    <t>№</t>
  </si>
  <si>
    <t>Name</t>
  </si>
  <si>
    <t>Qty, pcs</t>
  </si>
  <si>
    <t>Price RMB</t>
  </si>
  <si>
    <t>Amount RMB</t>
  </si>
  <si>
    <t>Наименование</t>
  </si>
  <si>
    <t>Кол., шт.</t>
  </si>
  <si>
    <t>Цена RMB</t>
  </si>
  <si>
    <t>Сумма RMB</t>
  </si>
  <si>
    <t>Tolat amount:</t>
  </si>
  <si>
    <t>Итого:</t>
  </si>
  <si>
    <t>2. Price per unit EXW  Shenzhen (China) including packaging:</t>
  </si>
  <si>
    <t>2. Цена за единицу EXW  Шэньчжэнь (Китай), в том числе упаковка:</t>
  </si>
  <si>
    <t>3. Количество, штук:</t>
  </si>
  <si>
    <t>4. Total cost of the goods:</t>
  </si>
  <si>
    <t>4. Общая стоимость товара:</t>
  </si>
  <si>
    <r>
      <rPr>
        <b/>
        <sz val="10"/>
        <color theme="1"/>
        <rFont val="Calibri"/>
      </rPr>
      <t xml:space="preserve">5. Delivery basis: EXW </t>
    </r>
    <r>
      <rPr>
        <sz val="10"/>
        <color theme="1"/>
        <rFont val="Calibri"/>
      </rPr>
      <t>Shenzhen  (China)</t>
    </r>
  </si>
  <si>
    <r>
      <rPr>
        <b/>
        <sz val="10"/>
        <color theme="1"/>
        <rFont val="Calibri"/>
      </rPr>
      <t xml:space="preserve">5. Базис поставки:EXW </t>
    </r>
    <r>
      <rPr>
        <sz val="10"/>
        <color theme="1"/>
        <rFont val="Calibri"/>
      </rPr>
      <t>Шэньчжэнь (Китай)</t>
    </r>
  </si>
  <si>
    <r>
      <rPr>
        <b/>
        <sz val="11"/>
        <color theme="1"/>
        <rFont val="Times New Roman"/>
      </rPr>
      <t xml:space="preserve"> Seller / Продавец: 
</t>
    </r>
    <r>
      <rPr>
        <sz val="11"/>
        <color theme="1"/>
        <rFont val="Times New Roman"/>
      </rPr>
      <t>Shenzhen 3Ray Lighting  Technology Co. Ltd, (China)</t>
    </r>
  </si>
  <si>
    <r>
      <rPr>
        <sz val="11"/>
        <color theme="1"/>
        <rFont val="Calibri"/>
      </rPr>
      <t>Dire</t>
    </r>
    <r>
      <rPr>
        <sz val="11"/>
        <color theme="1"/>
        <rFont val="Times New Roman"/>
      </rPr>
      <t xml:space="preserve">ctor Gary Zhang </t>
    </r>
  </si>
  <si>
    <t>3. Quantity, units pcs:</t>
  </si>
  <si>
    <r>
      <rPr>
        <b/>
        <sz val="10"/>
        <color theme="1"/>
        <rFont val="Calibri"/>
      </rPr>
      <t xml:space="preserve">6. Shipment period: </t>
    </r>
    <r>
      <rPr>
        <sz val="10"/>
        <color theme="1"/>
        <rFont val="Calibri"/>
      </rPr>
      <t>Not later than 52nd week, 2025</t>
    </r>
  </si>
  <si>
    <r>
      <rPr>
        <b/>
        <sz val="10"/>
        <color theme="1"/>
        <rFont val="Calibri"/>
      </rPr>
      <t>6. Период отгрузки:</t>
    </r>
    <r>
      <rPr>
        <sz val="10"/>
        <color theme="1"/>
        <rFont val="Calibri"/>
      </rPr>
      <t xml:space="preserve"> Не позднее 52-й недели 2025 г. </t>
    </r>
  </si>
  <si>
    <r>
      <rPr>
        <b/>
        <sz val="11"/>
        <color theme="1"/>
        <rFont val="Calibri"/>
      </rPr>
      <t xml:space="preserve">Buyer/Покупатель   </t>
    </r>
    <r>
      <rPr>
        <sz val="11"/>
        <color theme="1"/>
        <rFont val="Calibri"/>
      </rPr>
      <t xml:space="preserve">                                                      LLC PK “ENERGOSBEREZHENIE”                                           Head of Foreign Trade Department Alla Alexeeva</t>
    </r>
  </si>
  <si>
    <r>
      <rPr>
        <b/>
        <sz val="10"/>
        <color theme="1"/>
        <rFont val="Calibri"/>
      </rPr>
      <t xml:space="preserve">9. </t>
    </r>
    <r>
      <rPr>
        <sz val="10"/>
        <color theme="1"/>
        <rFont val="Calibri"/>
      </rPr>
      <t>Настоящая спецификациия составлена в двух экземплярах, имеющих равную юридическую силу, по одному для каждой из сторон, и вступает в силу с момента ее подписания.</t>
    </r>
  </si>
  <si>
    <r>
      <rPr>
        <b/>
        <sz val="10"/>
        <color theme="1"/>
        <rFont val="Calibri"/>
      </rPr>
      <t>8.</t>
    </r>
    <r>
      <rPr>
        <sz val="10"/>
        <color theme="1"/>
        <rFont val="Calibri"/>
      </rPr>
      <t xml:space="preserve"> Настоящая спецификациия  переданна факсимильной связью или посредством электронной почты, имеет силу оригинала.</t>
    </r>
  </si>
  <si>
    <r>
      <rPr>
        <b/>
        <sz val="10"/>
        <color theme="1"/>
        <rFont val="Calibri"/>
      </rPr>
      <t>8</t>
    </r>
    <r>
      <rPr>
        <sz val="10"/>
        <color theme="1"/>
        <rFont val="Calibri"/>
      </rPr>
      <t xml:space="preserve"> Present Specification  sent via fax or by e-mail is valid as original</t>
    </r>
  </si>
  <si>
    <r>
      <rPr>
        <b/>
        <sz val="10"/>
        <color theme="1"/>
        <rFont val="Calibri"/>
      </rPr>
      <t xml:space="preserve">9. </t>
    </r>
    <r>
      <rPr>
        <sz val="10"/>
        <color theme="1"/>
        <rFont val="Calibri"/>
      </rPr>
      <t>Present Specification  is drawn up in two copies which are equally legally valid, one for each of the parties, and comes in force from the moment of its signing.</t>
    </r>
  </si>
  <si>
    <r>
      <rPr>
        <b/>
        <sz val="10"/>
        <color theme="1"/>
        <rFont val="Calibri"/>
        <family val="2"/>
        <charset val="204"/>
      </rPr>
      <t>10.</t>
    </r>
    <r>
      <rPr>
        <sz val="10"/>
        <color theme="1"/>
        <rFont val="Calibri"/>
        <family val="2"/>
        <charset val="204"/>
      </rPr>
      <t xml:space="preserve"> Настоящея спецификация является неотъемлемой частью Договора No: 3R2024062615 от 26.06.2024</t>
    </r>
  </si>
  <si>
    <r>
      <rPr>
        <b/>
        <sz val="10"/>
        <color theme="1"/>
        <rFont val="Calibri"/>
        <family val="2"/>
        <charset val="204"/>
      </rPr>
      <t xml:space="preserve">10. </t>
    </r>
    <r>
      <rPr>
        <sz val="10"/>
        <color theme="1"/>
        <rFont val="Calibri"/>
        <family val="2"/>
        <charset val="204"/>
      </rPr>
      <t>Present Specification  is an essential part of Sales Contract No: 3R2024062615 dated 26.06.2024</t>
    </r>
  </si>
  <si>
    <t>Specification N7 dated 28.08.2025
to Sales Contract No: 3R2024062615 dated 26.06.2024</t>
  </si>
  <si>
    <t xml:space="preserve"> Спецификации № 7 от 28.08.2025
к Договору купли-продажи № 3R2024062615 от 26.06.2024</t>
  </si>
  <si>
    <t>12.5mm LED lens for 2835 led, panel light application/Светодиодная линза 12,5 мм для 2835 светодиодов, панельное освещение.</t>
  </si>
  <si>
    <t>26-LED board, 470*14*1mm, 2835 led, 4000K, Ra 90 , 2S13P, 18V input, 2-pin connector at one side</t>
  </si>
  <si>
    <t>12.5mm LED lens for 2835 led, panel light application</t>
  </si>
  <si>
    <t>( сто девяносто одна тысяча</t>
  </si>
  <si>
    <t xml:space="preserve"> пятьсот восемьдесят  юаней 00 фэнь) RMB</t>
  </si>
  <si>
    <t>thousand  five hundred eighty yuan 00 fen yuan 00 fen)  RMB</t>
  </si>
  <si>
    <t xml:space="preserve">(one hundred ninety one  </t>
  </si>
  <si>
    <t>Плата на 26 светодиодов, 470*14*1 мм, 2835 светодиодов, 4000K, Ra 90, 2S13P, вход 18 В, 2-контактный разъем с одной стороны</t>
  </si>
  <si>
    <r>
      <rPr>
        <b/>
        <sz val="10"/>
        <color theme="1"/>
        <rFont val="Calibri"/>
      </rPr>
      <t xml:space="preserve">7. Payment terms: </t>
    </r>
    <r>
      <rPr>
        <sz val="10"/>
        <color theme="1"/>
        <rFont val="Calibri"/>
      </rPr>
      <t xml:space="preserve">
</t>
    </r>
    <r>
      <rPr>
        <b/>
        <sz val="10"/>
        <color theme="1"/>
        <rFont val="Calibri"/>
      </rPr>
      <t xml:space="preserve">¥95 790,00  </t>
    </r>
    <r>
      <rPr>
        <sz val="10"/>
        <color theme="1"/>
        <rFont val="Calibri"/>
      </rPr>
      <t xml:space="preserve">Chinese Yuan payment is due in advance.
</t>
    </r>
    <r>
      <rPr>
        <b/>
        <sz val="10"/>
        <color theme="1"/>
        <rFont val="Calibri"/>
      </rPr>
      <t xml:space="preserve">¥95 790,00 </t>
    </r>
    <r>
      <rPr>
        <sz val="10"/>
        <color theme="1"/>
        <rFont val="Calibri"/>
      </rPr>
      <t>Chinese Yuan no later than the 52nd week of 2025</t>
    </r>
  </si>
  <si>
    <r>
      <rPr>
        <b/>
        <sz val="10"/>
        <color theme="1"/>
        <rFont val="Calibri"/>
      </rPr>
      <t xml:space="preserve">7. Порядок расчетов: </t>
    </r>
    <r>
      <rPr>
        <sz val="10"/>
        <color theme="1"/>
        <rFont val="Calibri"/>
      </rPr>
      <t xml:space="preserve">
</t>
    </r>
    <r>
      <rPr>
        <b/>
        <sz val="10"/>
        <color theme="1"/>
        <rFont val="Calibri"/>
      </rPr>
      <t>¥95 790,00</t>
    </r>
    <r>
      <rPr>
        <sz val="10"/>
        <color theme="1"/>
        <rFont val="Calibri"/>
      </rPr>
      <t xml:space="preserve"> Китайских юаней оплаты должна быть произведена вперед.
</t>
    </r>
    <r>
      <rPr>
        <b/>
        <sz val="10"/>
        <color theme="1"/>
        <rFont val="Calibri"/>
      </rPr>
      <t>¥95 790,00</t>
    </r>
    <r>
      <rPr>
        <sz val="10"/>
        <color theme="1"/>
        <rFont val="Calibri"/>
      </rPr>
      <t>Китайских юаней не позднее 52-й недели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</si>
</sst>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78]#,##0.00"/>
  </numFmts>
  <fonts count="17" x14ac:knownFonts="1">
    <font>
      <sz val="11"/>
      <color theme="1"/>
      <name val="Calibri"/>
      <scheme val="minor"/>
    </font>
    <font>
      <b/>
      <sz val="11"/>
      <color theme="1"/>
      <name val="Calibri"/>
    </font>
    <font>
      <sz val="10"/>
      <color theme="1"/>
      <name val="Calibri"/>
    </font>
    <font>
      <b/>
      <sz val="10"/>
      <color theme="1"/>
      <name val="Calibri"/>
    </font>
    <font>
      <b/>
      <sz val="9"/>
      <color theme="1"/>
      <name val="Calibri"/>
    </font>
    <font>
      <sz val="11"/>
      <name val="Calibri"/>
    </font>
    <font>
      <sz val="11"/>
      <color theme="1"/>
      <name val="Calibri"/>
    </font>
    <font>
      <sz val="11"/>
      <color theme="1"/>
      <name val="Calibri"/>
      <scheme val="minor"/>
    </font>
    <font>
      <b/>
      <sz val="11"/>
      <color theme="1"/>
      <name val="Times New Roman"/>
    </font>
    <font>
      <sz val="11"/>
      <color theme="1"/>
      <name val="Times New Roman"/>
    </font>
    <font>
      <sz val="9"/>
      <name val="Calibri"/>
      <family val="2"/>
      <charset val="204"/>
    </font>
    <font>
      <sz val="11"/>
      <name val="Calibri"/>
      <family val="2"/>
      <charset val="204"/>
    </font>
    <font>
      <sz val="10"/>
      <color theme="1"/>
      <name val="Calibri"/>
      <family val="2"/>
      <charset val="204"/>
    </font>
    <font>
      <b/>
      <sz val="9"/>
      <color theme="1"/>
      <name val="Calibri"/>
      <family val="2"/>
      <charset val="204"/>
    </font>
    <font>
      <sz val="10"/>
      <color theme="1"/>
      <name val="Calibri"/>
      <family val="2"/>
      <charset val="204"/>
      <scheme val="minor"/>
    </font>
    <font>
      <b/>
      <sz val="11"/>
      <color theme="1"/>
      <name val="Calibri"/>
      <family val="2"/>
      <charset val="204"/>
    </font>
    <font>
      <b/>
      <sz val="10"/>
      <color theme="1"/>
      <name val="Calibri"/>
      <family val="2"/>
      <charset val="204"/>
    </font>
  </fonts>
  <fills count="2">
    <fill>
      <patternFill patternType="none"/>
    </fill>
    <fill>
      <patternFill patternType="gray125"/>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44">
    <xf numFmtId="0" fontId="0" fillId="0" borderId="0" xfId="0"/>
    <xf numFmtId="0" fontId="3" fillId="0" borderId="1" xfId="0" applyFont="1" applyBorder="1" applyAlignment="1">
      <alignment wrapText="1"/>
    </xf>
    <xf numFmtId="164" fontId="6" fillId="0" borderId="0" xfId="0" applyNumberFormat="1" applyFont="1"/>
    <xf numFmtId="0" fontId="1" fillId="0" borderId="0" xfId="0" applyFont="1"/>
    <xf numFmtId="0" fontId="7" fillId="0" borderId="0" xfId="0" applyFont="1"/>
    <xf numFmtId="0" fontId="6" fillId="0" borderId="0" xfId="0" applyFont="1" applyAlignment="1">
      <alignment wrapText="1"/>
    </xf>
    <xf numFmtId="0" fontId="6" fillId="0" borderId="0" xfId="0" applyFont="1" applyAlignment="1">
      <alignment vertical="center" wrapText="1"/>
    </xf>
    <xf numFmtId="0" fontId="2" fillId="0" borderId="0" xfId="0" applyFont="1"/>
    <xf numFmtId="0" fontId="3" fillId="0" borderId="0" xfId="0" applyFont="1" applyAlignment="1">
      <alignment horizontal="left" wrapText="1"/>
    </xf>
    <xf numFmtId="0" fontId="1" fillId="0" borderId="0" xfId="0" applyFont="1" applyAlignment="1">
      <alignment horizontal="left"/>
    </xf>
    <xf numFmtId="0" fontId="10" fillId="0" borderId="3" xfId="0" applyFont="1" applyBorder="1" applyAlignment="1">
      <alignment wrapText="1"/>
    </xf>
    <xf numFmtId="0" fontId="11" fillId="0" borderId="3" xfId="0" applyFont="1" applyBorder="1"/>
    <xf numFmtId="0" fontId="12" fillId="0" borderId="1" xfId="0" applyFont="1" applyBorder="1" applyAlignment="1">
      <alignment wrapText="1"/>
    </xf>
    <xf numFmtId="164" fontId="12" fillId="0" borderId="1" xfId="0" applyNumberFormat="1" applyFont="1" applyBorder="1" applyAlignment="1">
      <alignment wrapText="1"/>
    </xf>
    <xf numFmtId="164" fontId="0" fillId="0" borderId="0" xfId="0" applyNumberFormat="1"/>
    <xf numFmtId="0" fontId="4" fillId="0" borderId="6" xfId="0" applyFont="1" applyBorder="1"/>
    <xf numFmtId="0" fontId="6" fillId="0" borderId="0" xfId="0" applyFont="1" applyAlignment="1">
      <alignment horizontal="center"/>
    </xf>
    <xf numFmtId="164" fontId="13" fillId="0" borderId="6" xfId="0" applyNumberFormat="1" applyFont="1" applyBorder="1"/>
    <xf numFmtId="0" fontId="14" fillId="0" borderId="0" xfId="0" applyFont="1" applyAlignment="1">
      <alignment horizontal="left" wrapText="1"/>
    </xf>
    <xf numFmtId="164" fontId="11" fillId="0" borderId="3" xfId="0" applyNumberFormat="1" applyFont="1" applyBorder="1"/>
    <xf numFmtId="0" fontId="14" fillId="0" borderId="0" xfId="0" applyFont="1" applyAlignment="1">
      <alignment horizontal="left" wrapText="1"/>
    </xf>
    <xf numFmtId="0" fontId="15" fillId="0" borderId="0" xfId="0" applyFont="1" applyAlignment="1">
      <alignment horizontal="left"/>
    </xf>
    <xf numFmtId="0" fontId="0" fillId="0" borderId="0" xfId="0"/>
    <xf numFmtId="0" fontId="15" fillId="0" borderId="0" xfId="0" applyFont="1" applyAlignment="1">
      <alignment horizontal="left" wrapText="1"/>
    </xf>
    <xf numFmtId="0" fontId="2" fillId="0" borderId="0" xfId="0" applyFont="1" applyAlignment="1">
      <alignment horizontal="left" vertical="top" wrapText="1"/>
    </xf>
    <xf numFmtId="0" fontId="1" fillId="0" borderId="0" xfId="0" applyFont="1" applyAlignment="1">
      <alignment horizontal="left" wrapText="1"/>
    </xf>
    <xf numFmtId="0" fontId="3" fillId="0" borderId="0" xfId="0" applyFont="1" applyAlignment="1">
      <alignment horizontal="left" wrapText="1"/>
    </xf>
    <xf numFmtId="0" fontId="4" fillId="0" borderId="4" xfId="0" applyFont="1" applyBorder="1" applyAlignment="1">
      <alignment horizontal="left"/>
    </xf>
    <xf numFmtId="0" fontId="5" fillId="0" borderId="5" xfId="0" applyFont="1" applyBorder="1"/>
    <xf numFmtId="0" fontId="4" fillId="0" borderId="2" xfId="0" applyFont="1" applyBorder="1" applyAlignment="1">
      <alignment horizontal="left"/>
    </xf>
    <xf numFmtId="0" fontId="1" fillId="0" borderId="0" xfId="0" applyFont="1" applyAlignment="1">
      <alignment horizontal="left"/>
    </xf>
    <xf numFmtId="0" fontId="12" fillId="0" borderId="0" xfId="0" applyFont="1" applyAlignment="1">
      <alignment horizontal="left" vertical="top" wrapText="1"/>
    </xf>
    <xf numFmtId="0" fontId="0" fillId="0" borderId="0" xfId="0" applyAlignment="1">
      <alignment vertical="top"/>
    </xf>
    <xf numFmtId="0" fontId="0" fillId="0" borderId="0" xfId="0" applyAlignment="1">
      <alignment wrapText="1"/>
    </xf>
    <xf numFmtId="0" fontId="3" fillId="0" borderId="0" xfId="0" applyFont="1" applyAlignment="1">
      <alignment horizontal="left"/>
    </xf>
    <xf numFmtId="164" fontId="3" fillId="0" borderId="0" xfId="0" applyNumberFormat="1" applyFont="1" applyAlignment="1">
      <alignment horizontal="center"/>
    </xf>
    <xf numFmtId="0" fontId="12" fillId="0" borderId="0" xfId="0" applyFont="1" applyAlignment="1">
      <alignment horizontal="left"/>
    </xf>
    <xf numFmtId="0" fontId="0" fillId="0" borderId="0" xfId="0" applyAlignment="1">
      <alignment horizontal="left"/>
    </xf>
    <xf numFmtId="0" fontId="12" fillId="0" borderId="0" xfId="0" applyFont="1" applyAlignment="1">
      <alignment horizontal="left" wrapText="1"/>
    </xf>
    <xf numFmtId="0" fontId="0" fillId="0" borderId="0" xfId="0" applyAlignment="1">
      <alignment horizontal="left" wrapText="1"/>
    </xf>
    <xf numFmtId="0" fontId="12" fillId="0" borderId="0" xfId="0" applyFont="1" applyAlignment="1">
      <alignment horizontal="left" vertical="center" wrapText="1"/>
    </xf>
    <xf numFmtId="0" fontId="8" fillId="0" borderId="0" xfId="0" applyFont="1" applyAlignment="1">
      <alignment vertical="top" wrapText="1"/>
    </xf>
    <xf numFmtId="0" fontId="6" fillId="0" borderId="0" xfId="0" applyFont="1" applyAlignment="1">
      <alignment horizontal="left" vertical="top" wrapText="1"/>
    </xf>
    <xf numFmtId="0" fontId="2" fillId="0" borderId="0" xfId="0" applyFont="1" applyAlignment="1">
      <alignment horizontal="lef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57149</xdr:colOff>
      <xdr:row>35</xdr:row>
      <xdr:rowOff>866775</xdr:rowOff>
    </xdr:from>
    <xdr:ext cx="2695576" cy="1685925"/>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838449" y="22936200"/>
          <a:ext cx="2695576" cy="1685925"/>
        </a:xfrm>
        <a:prstGeom prst="rect">
          <a:avLst/>
        </a:prstGeom>
        <a:noFill/>
      </xdr:spPr>
    </xdr:pic>
    <xdr:clientData fLocksWithSheet="0"/>
  </xdr:oneCellAnchor>
  <xdr:oneCellAnchor>
    <xdr:from>
      <xdr:col>0</xdr:col>
      <xdr:colOff>0</xdr:colOff>
      <xdr:row>35</xdr:row>
      <xdr:rowOff>304800</xdr:rowOff>
    </xdr:from>
    <xdr:ext cx="1895475" cy="2019300"/>
    <xdr:pic>
      <xdr:nvPicPr>
        <xdr:cNvPr id="3" name="image3.png" descr="Chop2">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95250</xdr:colOff>
      <xdr:row>37</xdr:row>
      <xdr:rowOff>19050</xdr:rowOff>
    </xdr:from>
    <xdr:ext cx="1504950" cy="600075"/>
    <xdr:pic>
      <xdr:nvPicPr>
        <xdr:cNvPr id="4" name="image1.pn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2"/>
  <sheetViews>
    <sheetView tabSelected="1" topLeftCell="A25" workbookViewId="0">
      <selection activeCell="D33" sqref="D33"/>
    </sheetView>
  </sheetViews>
  <sheetFormatPr defaultColWidth="14.42578125" defaultRowHeight="15" customHeight="1" x14ac:dyDescent="0.25"/>
  <cols>
    <col min="1" max="1" width="3" customWidth="1"/>
    <col min="2" max="2" width="12.85546875" customWidth="1"/>
    <col min="3" max="3" width="6.28515625" customWidth="1"/>
    <col min="4" max="4" width="7.28515625" customWidth="1"/>
    <col min="5" max="5" width="11.5703125" customWidth="1"/>
    <col min="6" max="6" width="0.7109375" customWidth="1"/>
    <col min="7" max="7" width="3.28515625" customWidth="1"/>
    <col min="8" max="8" width="12.5703125" customWidth="1"/>
    <col min="9" max="9" width="6.5703125" customWidth="1"/>
    <col min="10" max="10" width="9.28515625" customWidth="1"/>
    <col min="11" max="11" width="11.140625" customWidth="1"/>
    <col min="12" max="13" width="8.7109375" customWidth="1"/>
    <col min="14" max="14" width="17.140625" customWidth="1"/>
    <col min="15" max="26" width="8.7109375" customWidth="1"/>
  </cols>
  <sheetData>
    <row r="1" spans="1:14" ht="59.25" customHeight="1" x14ac:dyDescent="0.25">
      <c r="A1" s="23" t="s">
        <v>34</v>
      </c>
      <c r="B1" s="22"/>
      <c r="C1" s="22"/>
      <c r="D1" s="22"/>
      <c r="E1" s="22"/>
      <c r="G1" s="23" t="s">
        <v>35</v>
      </c>
      <c r="H1" s="22"/>
      <c r="I1" s="22"/>
      <c r="J1" s="22"/>
      <c r="K1" s="22"/>
    </row>
    <row r="2" spans="1:14" ht="129" customHeight="1" x14ac:dyDescent="0.25">
      <c r="A2" s="24" t="s">
        <v>0</v>
      </c>
      <c r="B2" s="22"/>
      <c r="C2" s="22"/>
      <c r="D2" s="22"/>
      <c r="E2" s="22"/>
      <c r="G2" s="24" t="s">
        <v>1</v>
      </c>
      <c r="H2" s="22"/>
      <c r="I2" s="22"/>
      <c r="J2" s="22"/>
      <c r="K2" s="22"/>
    </row>
    <row r="3" spans="1:14" ht="39" customHeight="1" x14ac:dyDescent="0.25">
      <c r="A3" s="25" t="s">
        <v>2</v>
      </c>
      <c r="B3" s="22"/>
      <c r="C3" s="22"/>
      <c r="D3" s="22"/>
      <c r="E3" s="22"/>
      <c r="G3" s="26" t="s">
        <v>3</v>
      </c>
      <c r="H3" s="22"/>
      <c r="I3" s="22"/>
      <c r="J3" s="22"/>
      <c r="K3" s="22"/>
    </row>
    <row r="5" spans="1:14" ht="29.25" customHeight="1" x14ac:dyDescent="0.25">
      <c r="A5" s="1" t="s">
        <v>4</v>
      </c>
      <c r="B5" s="1" t="s">
        <v>5</v>
      </c>
      <c r="C5" s="1" t="s">
        <v>6</v>
      </c>
      <c r="D5" s="1" t="s">
        <v>7</v>
      </c>
      <c r="E5" s="1" t="s">
        <v>8</v>
      </c>
      <c r="G5" s="1" t="s">
        <v>4</v>
      </c>
      <c r="H5" s="1" t="s">
        <v>9</v>
      </c>
      <c r="I5" s="1" t="s">
        <v>10</v>
      </c>
      <c r="J5" s="1" t="s">
        <v>11</v>
      </c>
      <c r="K5" s="1" t="s">
        <v>12</v>
      </c>
    </row>
    <row r="6" spans="1:14" ht="156" customHeight="1" x14ac:dyDescent="0.25">
      <c r="A6" s="1">
        <v>1</v>
      </c>
      <c r="B6" s="10" t="s">
        <v>37</v>
      </c>
      <c r="C6" s="11">
        <v>33000</v>
      </c>
      <c r="D6" s="19">
        <v>5.76</v>
      </c>
      <c r="E6" s="13">
        <f>D6*C6</f>
        <v>190080</v>
      </c>
      <c r="G6" s="1">
        <f>A6</f>
        <v>1</v>
      </c>
      <c r="H6" s="10" t="s">
        <v>43</v>
      </c>
      <c r="I6" s="12">
        <f>C6</f>
        <v>33000</v>
      </c>
      <c r="J6" s="13">
        <f>D6</f>
        <v>5.76</v>
      </c>
      <c r="K6" s="13">
        <f>I6*J6</f>
        <v>190080</v>
      </c>
    </row>
    <row r="7" spans="1:14" ht="103.5" customHeight="1" x14ac:dyDescent="0.25">
      <c r="A7" s="1">
        <v>2</v>
      </c>
      <c r="B7" s="10" t="s">
        <v>38</v>
      </c>
      <c r="C7" s="11">
        <v>50000</v>
      </c>
      <c r="D7" s="19">
        <v>0.03</v>
      </c>
      <c r="E7" s="13">
        <f t="shared" ref="E7" si="0">D7*C7</f>
        <v>1500</v>
      </c>
      <c r="G7" s="1">
        <f t="shared" ref="G7" si="1">A7</f>
        <v>2</v>
      </c>
      <c r="H7" s="10" t="s">
        <v>36</v>
      </c>
      <c r="I7" s="12">
        <f t="shared" ref="I7" si="2">C7</f>
        <v>50000</v>
      </c>
      <c r="J7" s="13">
        <f t="shared" ref="J7" si="3">D7</f>
        <v>0.03</v>
      </c>
      <c r="K7" s="13">
        <f t="shared" ref="K7" si="4">I7*J7</f>
        <v>1500</v>
      </c>
    </row>
    <row r="8" spans="1:14" ht="23.25" customHeight="1" x14ac:dyDescent="0.25">
      <c r="A8" s="29" t="s">
        <v>13</v>
      </c>
      <c r="B8" s="28"/>
      <c r="C8" s="15"/>
      <c r="D8" s="15"/>
      <c r="E8" s="17">
        <f>SUM(E6:E7)</f>
        <v>191580</v>
      </c>
      <c r="G8" s="27" t="s">
        <v>14</v>
      </c>
      <c r="H8" s="28"/>
      <c r="I8" s="15"/>
      <c r="J8" s="15"/>
      <c r="K8" s="17">
        <f>SUM(K6:K7)</f>
        <v>191580</v>
      </c>
      <c r="N8" s="14"/>
    </row>
    <row r="9" spans="1:14" ht="23.25" customHeight="1" x14ac:dyDescent="0.25">
      <c r="E9" s="2"/>
      <c r="N9" s="14"/>
    </row>
    <row r="10" spans="1:14" ht="36" customHeight="1" x14ac:dyDescent="0.25">
      <c r="A10" s="26" t="s">
        <v>15</v>
      </c>
      <c r="B10" s="22"/>
      <c r="C10" s="22"/>
      <c r="D10" s="22"/>
      <c r="E10" s="22"/>
      <c r="F10" s="3"/>
      <c r="G10" s="26" t="s">
        <v>16</v>
      </c>
      <c r="H10" s="22"/>
      <c r="I10" s="22"/>
      <c r="J10" s="22"/>
      <c r="K10" s="22"/>
    </row>
    <row r="11" spans="1:14" ht="71.25" customHeight="1" x14ac:dyDescent="0.25">
      <c r="A11" s="8">
        <v>1</v>
      </c>
      <c r="B11" s="20" t="str">
        <f>B6</f>
        <v>26-LED board, 470*14*1mm, 2835 led, 4000K, Ra 90 , 2S13P, 18V input, 2-pin connector at one side</v>
      </c>
      <c r="C11" s="20"/>
      <c r="D11" s="20"/>
      <c r="E11" s="14">
        <f>D6</f>
        <v>5.76</v>
      </c>
      <c r="F11" s="3"/>
      <c r="G11" s="8">
        <f>A11</f>
        <v>1</v>
      </c>
      <c r="H11" s="20" t="str">
        <f>H6</f>
        <v>Плата на 26 светодиодов, 470*14*1 мм, 2835 светодиодов, 4000K, Ra 90, 2S13P, вход 18 В, 2-контактный разъем с одной стороны</v>
      </c>
      <c r="I11" s="20"/>
      <c r="J11" s="20"/>
      <c r="K11" s="14">
        <f>E11</f>
        <v>5.76</v>
      </c>
    </row>
    <row r="12" spans="1:14" ht="51.75" customHeight="1" x14ac:dyDescent="0.25">
      <c r="A12" s="8">
        <v>2</v>
      </c>
      <c r="B12" s="20" t="str">
        <f>B7</f>
        <v>12.5mm LED lens for 2835 led, panel light application</v>
      </c>
      <c r="C12" s="20"/>
      <c r="D12" s="20"/>
      <c r="E12" s="14">
        <f>D7</f>
        <v>0.03</v>
      </c>
      <c r="F12" s="3"/>
      <c r="G12" s="8">
        <f t="shared" ref="G12" si="5">A12</f>
        <v>2</v>
      </c>
      <c r="H12" s="20" t="str">
        <f>H7</f>
        <v>12.5mm LED lens for 2835 led, panel light application/Светодиодная линза 12,5 мм для 2835 светодиодов, панельное освещение.</v>
      </c>
      <c r="I12" s="20"/>
      <c r="J12" s="20"/>
      <c r="K12" s="14">
        <f t="shared" ref="K12" si="6">E12</f>
        <v>0.03</v>
      </c>
    </row>
    <row r="13" spans="1:14" x14ac:dyDescent="0.25">
      <c r="A13" s="8"/>
      <c r="B13" s="16"/>
      <c r="H13" s="16"/>
    </row>
    <row r="14" spans="1:14" x14ac:dyDescent="0.25">
      <c r="A14" s="21" t="s">
        <v>24</v>
      </c>
      <c r="B14" s="22"/>
      <c r="C14" s="22"/>
      <c r="D14" s="22"/>
      <c r="E14" s="22"/>
      <c r="G14" s="30" t="s">
        <v>17</v>
      </c>
      <c r="H14" s="22"/>
      <c r="I14" s="22"/>
      <c r="J14" s="22"/>
      <c r="K14" s="22"/>
    </row>
    <row r="15" spans="1:14" x14ac:dyDescent="0.25">
      <c r="A15" s="9"/>
      <c r="G15" s="9"/>
    </row>
    <row r="16" spans="1:14" ht="79.5" customHeight="1" x14ac:dyDescent="0.25">
      <c r="A16" s="9">
        <v>1</v>
      </c>
      <c r="B16" s="20" t="str">
        <f>B6</f>
        <v>26-LED board, 470*14*1mm, 2835 led, 4000K, Ra 90 , 2S13P, 18V input, 2-pin connector at one side</v>
      </c>
      <c r="C16" s="20"/>
      <c r="D16" s="20"/>
      <c r="E16">
        <f>C6</f>
        <v>33000</v>
      </c>
      <c r="G16" s="9">
        <f>A16</f>
        <v>1</v>
      </c>
      <c r="H16" s="20" t="str">
        <f>H6</f>
        <v>Плата на 26 светодиодов, 470*14*1 мм, 2835 светодиодов, 4000K, Ra 90, 2S13P, вход 18 В, 2-контактный разъем с одной стороны</v>
      </c>
      <c r="I16" s="20"/>
      <c r="J16" s="20"/>
      <c r="K16">
        <f>E16</f>
        <v>33000</v>
      </c>
    </row>
    <row r="17" spans="1:11" ht="71.25" customHeight="1" x14ac:dyDescent="0.25">
      <c r="A17" s="9">
        <v>2</v>
      </c>
      <c r="B17" s="20" t="str">
        <f>B7</f>
        <v>12.5mm LED lens for 2835 led, panel light application</v>
      </c>
      <c r="C17" s="20"/>
      <c r="D17" s="20"/>
      <c r="E17">
        <f>C7</f>
        <v>50000</v>
      </c>
      <c r="G17" s="9">
        <f t="shared" ref="G17" si="7">A17</f>
        <v>2</v>
      </c>
      <c r="H17" s="20" t="str">
        <f>H7</f>
        <v>12.5mm LED lens for 2835 led, panel light application/Светодиодная линза 12,5 мм для 2835 светодиодов, панельное освещение.</v>
      </c>
      <c r="I17" s="20"/>
      <c r="J17" s="20"/>
      <c r="K17">
        <f t="shared" ref="K17" si="8">E17</f>
        <v>50000</v>
      </c>
    </row>
    <row r="18" spans="1:11" ht="12.75" customHeight="1" x14ac:dyDescent="0.25">
      <c r="A18" s="9"/>
      <c r="B18" s="20"/>
      <c r="C18" s="20"/>
      <c r="D18" s="20"/>
      <c r="F18" s="5"/>
      <c r="G18" s="6"/>
      <c r="H18" s="20"/>
      <c r="I18" s="20"/>
      <c r="J18" s="20"/>
    </row>
    <row r="19" spans="1:11" ht="20.25" customHeight="1" x14ac:dyDescent="0.25">
      <c r="A19" s="9"/>
      <c r="B19" s="18"/>
      <c r="C19" s="18"/>
      <c r="D19" s="18"/>
      <c r="F19" s="5"/>
      <c r="G19" s="6"/>
      <c r="H19" s="18"/>
      <c r="I19" s="18"/>
      <c r="J19" s="18"/>
    </row>
    <row r="20" spans="1:11" ht="19.5" customHeight="1" x14ac:dyDescent="0.25">
      <c r="A20" s="26" t="s">
        <v>18</v>
      </c>
      <c r="B20" s="22"/>
      <c r="C20" s="22"/>
      <c r="D20" s="22"/>
      <c r="E20" s="22"/>
      <c r="F20" s="7"/>
      <c r="G20" s="34" t="s">
        <v>19</v>
      </c>
      <c r="H20" s="22"/>
      <c r="I20" s="22"/>
      <c r="J20" s="22"/>
      <c r="K20" s="22"/>
    </row>
    <row r="21" spans="1:11" ht="30" customHeight="1" x14ac:dyDescent="0.25">
      <c r="A21" s="35">
        <f>E8</f>
        <v>191580</v>
      </c>
      <c r="B21" s="22"/>
      <c r="C21" s="38" t="s">
        <v>42</v>
      </c>
      <c r="D21" s="39"/>
      <c r="E21" s="39"/>
      <c r="F21" s="7"/>
      <c r="G21" s="35">
        <f>K8</f>
        <v>191580</v>
      </c>
      <c r="H21" s="22"/>
      <c r="I21" s="36" t="s">
        <v>39</v>
      </c>
      <c r="J21" s="37"/>
      <c r="K21" s="37"/>
    </row>
    <row r="22" spans="1:11" ht="27" customHeight="1" x14ac:dyDescent="0.25">
      <c r="A22" s="31" t="s">
        <v>41</v>
      </c>
      <c r="B22" s="32"/>
      <c r="C22" s="32"/>
      <c r="D22" s="32"/>
      <c r="E22" s="32"/>
      <c r="F22" s="7"/>
      <c r="G22" s="7"/>
      <c r="H22" s="31" t="s">
        <v>40</v>
      </c>
      <c r="I22" s="33"/>
      <c r="J22" s="33"/>
      <c r="K22" s="33"/>
    </row>
    <row r="23" spans="1:11" ht="31.5" customHeight="1" x14ac:dyDescent="0.25">
      <c r="A23" s="7"/>
      <c r="B23" s="7"/>
      <c r="C23" s="7"/>
      <c r="D23" s="7"/>
      <c r="E23" s="7"/>
      <c r="F23" s="7"/>
      <c r="G23" s="7"/>
      <c r="H23" s="7"/>
      <c r="I23" s="7"/>
      <c r="J23" s="7"/>
      <c r="K23" s="7"/>
    </row>
    <row r="24" spans="1:11" ht="15.75" customHeight="1" x14ac:dyDescent="0.25">
      <c r="A24" s="26" t="s">
        <v>20</v>
      </c>
      <c r="B24" s="22"/>
      <c r="C24" s="22"/>
      <c r="D24" s="22"/>
      <c r="E24" s="22"/>
      <c r="F24" s="7"/>
      <c r="G24" s="34" t="s">
        <v>21</v>
      </c>
      <c r="H24" s="22"/>
      <c r="I24" s="22"/>
      <c r="J24" s="22"/>
      <c r="K24" s="22"/>
    </row>
    <row r="25" spans="1:11" ht="15.75" customHeight="1" x14ac:dyDescent="0.25"/>
    <row r="26" spans="1:11" ht="30" customHeight="1" x14ac:dyDescent="0.25">
      <c r="A26" s="38" t="s">
        <v>25</v>
      </c>
      <c r="B26" s="22"/>
      <c r="C26" s="22"/>
      <c r="D26" s="22"/>
      <c r="E26" s="22"/>
      <c r="G26" s="38" t="s">
        <v>26</v>
      </c>
      <c r="H26" s="22"/>
      <c r="I26" s="22"/>
      <c r="J26" s="22"/>
      <c r="K26" s="22"/>
    </row>
    <row r="27" spans="1:11" ht="34.5" customHeight="1" x14ac:dyDescent="0.25"/>
    <row r="28" spans="1:11" ht="64.5" customHeight="1" x14ac:dyDescent="0.25">
      <c r="A28" s="43" t="s">
        <v>44</v>
      </c>
      <c r="B28" s="22"/>
      <c r="C28" s="22"/>
      <c r="D28" s="22"/>
      <c r="E28" s="22"/>
      <c r="G28" s="43" t="s">
        <v>45</v>
      </c>
      <c r="H28" s="22"/>
      <c r="I28" s="22"/>
      <c r="J28" s="22"/>
      <c r="K28" s="22"/>
    </row>
    <row r="29" spans="1:11" ht="33" customHeight="1" x14ac:dyDescent="0.25"/>
    <row r="30" spans="1:11" ht="76.5" customHeight="1" x14ac:dyDescent="0.25">
      <c r="A30" s="40" t="s">
        <v>30</v>
      </c>
      <c r="B30" s="22"/>
      <c r="C30" s="22"/>
      <c r="D30" s="22"/>
      <c r="E30" s="22"/>
      <c r="G30" s="40" t="s">
        <v>29</v>
      </c>
      <c r="H30" s="22"/>
      <c r="I30" s="22"/>
      <c r="J30" s="22"/>
      <c r="K30" s="22"/>
    </row>
    <row r="31" spans="1:11" ht="36.75" customHeight="1" x14ac:dyDescent="0.25"/>
    <row r="32" spans="1:11" ht="66.75" customHeight="1" x14ac:dyDescent="0.25">
      <c r="A32" s="40" t="s">
        <v>31</v>
      </c>
      <c r="B32" s="22"/>
      <c r="C32" s="22"/>
      <c r="D32" s="22"/>
      <c r="E32" s="22"/>
      <c r="G32" s="40" t="s">
        <v>28</v>
      </c>
      <c r="H32" s="22"/>
      <c r="I32" s="22"/>
      <c r="J32" s="22"/>
      <c r="K32" s="22"/>
    </row>
    <row r="33" spans="1:11" ht="32.25" customHeight="1" x14ac:dyDescent="0.25"/>
    <row r="34" spans="1:11" ht="47.25" customHeight="1" x14ac:dyDescent="0.25">
      <c r="A34" s="40" t="s">
        <v>33</v>
      </c>
      <c r="B34" s="22"/>
      <c r="C34" s="22"/>
      <c r="D34" s="22"/>
      <c r="E34" s="22"/>
      <c r="G34" s="40" t="s">
        <v>32</v>
      </c>
      <c r="H34" s="22"/>
      <c r="I34" s="22"/>
      <c r="J34" s="22"/>
      <c r="K34" s="22"/>
    </row>
    <row r="35" spans="1:11" ht="2.25" customHeight="1" x14ac:dyDescent="0.25"/>
    <row r="36" spans="1:11" ht="76.5" customHeight="1" x14ac:dyDescent="0.25">
      <c r="A36" s="41" t="s">
        <v>22</v>
      </c>
      <c r="B36" s="22"/>
      <c r="C36" s="22"/>
      <c r="D36" s="22"/>
      <c r="E36" s="22"/>
      <c r="G36" s="42" t="s">
        <v>27</v>
      </c>
      <c r="H36" s="22"/>
      <c r="I36" s="22"/>
      <c r="J36" s="22"/>
      <c r="K36" s="22"/>
    </row>
    <row r="37" spans="1:11" ht="15.75" customHeight="1" x14ac:dyDescent="0.25">
      <c r="A37" s="4" t="s">
        <v>23</v>
      </c>
    </row>
    <row r="38" spans="1:11" ht="15.75" customHeight="1" x14ac:dyDescent="0.25"/>
    <row r="39" spans="1:11" ht="15.75" customHeight="1" x14ac:dyDescent="0.25"/>
    <row r="40" spans="1:11" ht="15.75" customHeight="1" x14ac:dyDescent="0.25"/>
    <row r="41" spans="1:11" ht="15.75" customHeight="1" x14ac:dyDescent="0.25"/>
    <row r="42" spans="1:11" ht="15.75" customHeight="1" x14ac:dyDescent="0.25"/>
    <row r="43" spans="1:11" ht="15.75" customHeight="1" x14ac:dyDescent="0.25"/>
    <row r="44" spans="1:11" ht="15.75" customHeight="1" x14ac:dyDescent="0.25"/>
    <row r="45" spans="1:11" ht="15.75" customHeight="1" x14ac:dyDescent="0.25"/>
    <row r="46" spans="1:11" ht="15.75" customHeight="1" x14ac:dyDescent="0.25"/>
    <row r="47" spans="1:11" ht="15.75" customHeight="1" x14ac:dyDescent="0.25"/>
    <row r="48" spans="1:11"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sheetData>
  <mergeCells count="44">
    <mergeCell ref="G26:K26"/>
    <mergeCell ref="A34:E34"/>
    <mergeCell ref="G34:K34"/>
    <mergeCell ref="A36:E36"/>
    <mergeCell ref="G36:K36"/>
    <mergeCell ref="A26:E26"/>
    <mergeCell ref="A28:E28"/>
    <mergeCell ref="G28:K28"/>
    <mergeCell ref="A30:E30"/>
    <mergeCell ref="G30:K30"/>
    <mergeCell ref="A32:E32"/>
    <mergeCell ref="G32:K32"/>
    <mergeCell ref="A20:E20"/>
    <mergeCell ref="G20:K20"/>
    <mergeCell ref="B18:D18"/>
    <mergeCell ref="H16:J16"/>
    <mergeCell ref="H17:J17"/>
    <mergeCell ref="H18:J18"/>
    <mergeCell ref="A22:E22"/>
    <mergeCell ref="H22:K22"/>
    <mergeCell ref="A24:E24"/>
    <mergeCell ref="G24:K24"/>
    <mergeCell ref="A21:B21"/>
    <mergeCell ref="I21:K21"/>
    <mergeCell ref="C21:E21"/>
    <mergeCell ref="G21:H21"/>
    <mergeCell ref="G8:H8"/>
    <mergeCell ref="A8:B8"/>
    <mergeCell ref="A10:E10"/>
    <mergeCell ref="G10:K10"/>
    <mergeCell ref="G14:K14"/>
    <mergeCell ref="A1:E1"/>
    <mergeCell ref="G1:K1"/>
    <mergeCell ref="A2:E2"/>
    <mergeCell ref="G2:K2"/>
    <mergeCell ref="A3:E3"/>
    <mergeCell ref="G3:K3"/>
    <mergeCell ref="B17:D17"/>
    <mergeCell ref="A14:E14"/>
    <mergeCell ref="B11:D11"/>
    <mergeCell ref="B12:D12"/>
    <mergeCell ref="H11:J11"/>
    <mergeCell ref="H12:J12"/>
    <mergeCell ref="B16:D16"/>
  </mergeCells>
  <pageMargins left="0.7" right="0.7" top="0.75" bottom="0.75" header="0" footer="0"/>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Stacy</dc:creator>
  <cp:lastModifiedBy>Анастасия Арбузова</cp:lastModifiedBy>
  <cp:lastPrinted>2025-09-01T12:30:35Z</cp:lastPrinted>
  <dcterms:created xsi:type="dcterms:W3CDTF">2015-06-05T18:17:20Z</dcterms:created>
  <dcterms:modified xsi:type="dcterms:W3CDTF">2025-09-01T12:31:55Z</dcterms:modified>
</cp:coreProperties>
</file>